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xmlns:r="http://schemas.openxmlformats.org/officeDocument/2006/relationships" name="Phase 2 Closure Summary" sheetId="1" state="visible" r:id="rId1"/>
    <sheet xmlns:r="http://schemas.openxmlformats.org/officeDocument/2006/relationships" name="Dashboard" sheetId="2" state="visible" r:id="rId2"/>
    <sheet xmlns:r="http://schemas.openxmlformats.org/officeDocument/2006/relationships" name="Current Sprint" sheetId="3" state="visible" r:id="rId3"/>
    <sheet xmlns:r="http://schemas.openxmlformats.org/officeDocument/2006/relationships" name="Full Backlog" sheetId="4" state="visible" r:id="rId4"/>
    <sheet xmlns:r="http://schemas.openxmlformats.org/officeDocument/2006/relationships" name="Phase 2 Completion" sheetId="5" state="visible" r:id="rId5"/>
    <sheet xmlns:r="http://schemas.openxmlformats.org/officeDocument/2006/relationships" name="Phase 3 Gate" sheetId="6" state="visible" r:id="rId6"/>
    <sheet xmlns:r="http://schemas.openxmlformats.org/officeDocument/2006/relationships" name="Phase 4 Gate" sheetId="7" state="visible" r:id="rId7"/>
    <sheet xmlns:r="http://schemas.openxmlformats.org/officeDocument/2006/relationships" name="Phase 5 Gate" sheetId="8" state="visible" r:id="rId8"/>
    <sheet xmlns:r="http://schemas.openxmlformats.org/officeDocument/2006/relationships" name="Phase 6 Gate" sheetId="9" state="visible" r:id="rId9"/>
    <sheet xmlns:r="http://schemas.openxmlformats.org/officeDocument/2006/relationships" name="Phase 6 Build" sheetId="10" state="visible" r:id="rId10"/>
    <sheet xmlns:r="http://schemas.openxmlformats.org/officeDocument/2006/relationships" name="Phase 7 Gate" sheetId="11" state="visible" r:id="rId11"/>
  </sheets>
  <definedNames>
    <definedName name="_xlnm._FilterDatabase" localSheetId="3" hidden="1">'Full Backlog'!$A$1:$M$97</definedName>
    <definedName name="_xlnm._FilterDatabase" localSheetId="4" hidden="1">'Phase 2 Completion'!$A$1:$M$61</definedName>
    <definedName name="_xlnm._FilterDatabase" localSheetId="5" hidden="1">'Phase 3 Gate'!$A$1:$M$24</definedName>
    <definedName name="_xlnm._FilterDatabase" localSheetId="6" hidden="1">'Phase 4 Gate'!$A$1:$M$5</definedName>
    <definedName name="_xlnm._FilterDatabase" localSheetId="7" hidden="1">'Phase 5 Gate'!$A$1:$M$19</definedName>
    <definedName name="_xlnm._FilterDatabase" localSheetId="8" hidden="1">'Phase 6 Gate'!$A$1:$M$6</definedName>
    <definedName name="_xlnm._FilterDatabase" localSheetId="9" hidden="1">'Phase 6 Build'!$A$1:$M$1</definedName>
    <definedName name="_xlnm._FilterDatabase" localSheetId="10" hidden="1">'Phase 7 Gate'!$A$1:$M$24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6">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6"/>
    </font>
    <font>
      <name val="Cambria"/>
      <charset val="1"/>
      <family val="0"/>
      <i val="1"/>
      <sz val="11"/>
    </font>
    <font>
      <name val="Calibri"/>
      <charset val="1"/>
      <family val="0"/>
      <b val="1"/>
      <color rgb="FFFFFFFF"/>
      <sz val="11"/>
    </font>
    <font>
      <name val="Calibri"/>
      <charset val="1"/>
      <family val="0"/>
      <b val="1"/>
      <sz val="11"/>
    </font>
    <font>
      <name val="Calibri"/>
      <charset val="1"/>
      <family val="0"/>
      <sz val="11"/>
    </font>
    <font>
      <name val="Cambria"/>
      <charset val="1"/>
      <family val="0"/>
      <i val="1"/>
      <sz val="10"/>
    </font>
    <font>
      <name val="Arial"/>
      <charset val="1"/>
      <family val="0"/>
      <b val="1"/>
      <color rgb="FF305496"/>
      <sz val="18"/>
    </font>
    <font>
      <name val="Arial"/>
      <charset val="1"/>
      <family val="0"/>
      <i val="1"/>
      <color rgb="FF595959"/>
      <sz val="10"/>
    </font>
    <font>
      <name val="Arial"/>
      <charset val="1"/>
      <family val="0"/>
      <b val="1"/>
      <color rgb="FF305496"/>
      <sz val="12"/>
    </font>
    <font>
      <name val="Arial"/>
      <charset val="1"/>
      <family val="0"/>
      <b val="1"/>
      <color rgb="FFFFFFFF"/>
      <sz val="11"/>
    </font>
    <font>
      <name val="Arial"/>
      <charset val="1"/>
      <family val="0"/>
      <b val="1"/>
      <color rgb="FF006100"/>
      <sz val="10"/>
    </font>
    <font>
      <name val="Arial"/>
      <charset val="1"/>
      <family val="0"/>
      <b val="1"/>
      <sz val="10"/>
    </font>
    <font>
      <name val="Arial"/>
      <charset val="1"/>
      <family val="0"/>
      <b val="1"/>
      <color rgb="FFFFFFFF"/>
      <sz val="10"/>
    </font>
    <font>
      <name val="Arial"/>
      <charset val="1"/>
      <family val="0"/>
      <color rgb="FF9C5700"/>
      <sz val="10"/>
    </font>
    <font>
      <name val="Arial"/>
      <charset val="1"/>
      <family val="0"/>
      <b val="1"/>
      <color rgb="FF9C0006"/>
      <sz val="10"/>
    </font>
    <font>
      <name val="Arial"/>
      <charset val="1"/>
      <family val="0"/>
      <color rgb="FF7F6000"/>
      <sz val="10"/>
    </font>
    <font>
      <name val="Arial"/>
      <charset val="1"/>
      <family val="0"/>
      <b val="1"/>
      <color rgb="FF1F4E79"/>
      <sz val="10"/>
    </font>
    <font>
      <name val="Arial"/>
      <charset val="1"/>
      <family val="0"/>
      <sz val="10"/>
    </font>
    <font>
      <name val="Arial"/>
      <charset val="1"/>
      <family val="0"/>
      <color rgb="FF0563C1"/>
      <sz val="10"/>
      <u val="single"/>
    </font>
    <font>
      <name val="Cambria"/>
      <charset val="1"/>
      <family val="0"/>
      <b val="1"/>
      <color rgb="FF006100"/>
      <sz val="12"/>
    </font>
    <font>
      <name val="Cambria"/>
      <charset val="1"/>
      <family val="0"/>
      <b val="1"/>
      <color rgb="FF006100"/>
      <sz val="11"/>
    </font>
    <font>
      <name val="Calibri"/>
      <charset val="1"/>
      <family val="0"/>
      <b val="1"/>
      <color rgb="FFFFFFFF"/>
      <sz val="14"/>
    </font>
  </fonts>
  <fills count="13">
    <fill>
      <patternFill/>
    </fill>
    <fill>
      <patternFill patternType="gray125"/>
    </fill>
    <fill>
      <patternFill patternType="solid">
        <fgColor rgb="FF1F4E79"/>
        <bgColor rgb="FF305496"/>
      </patternFill>
    </fill>
    <fill>
      <patternFill patternType="solid">
        <fgColor rgb="FF2E75B6"/>
        <bgColor rgb="FF0563C1"/>
      </patternFill>
    </fill>
    <fill>
      <patternFill patternType="solid">
        <fgColor rgb="FFC6EFCE"/>
        <bgColor rgb="FFD9D9D9"/>
      </patternFill>
    </fill>
    <fill>
      <patternFill patternType="solid">
        <fgColor rgb="FFFFEB9C"/>
        <bgColor rgb="FFFFE699"/>
      </patternFill>
    </fill>
    <fill>
      <patternFill patternType="solid">
        <fgColor rgb="FF305496"/>
        <bgColor rgb="FF1F4E79"/>
      </patternFill>
    </fill>
    <fill>
      <patternFill patternType="solid">
        <fgColor rgb="FFC00000"/>
        <bgColor rgb="FF9C0006"/>
      </patternFill>
    </fill>
    <fill>
      <patternFill patternType="solid">
        <fgColor rgb="FFFFC7CE"/>
        <bgColor rgb="FFD9D9D9"/>
      </patternFill>
    </fill>
    <fill>
      <patternFill patternType="solid">
        <fgColor rgb="FFD9D9D9"/>
        <bgColor rgb="FFBDD7EE"/>
      </patternFill>
    </fill>
    <fill>
      <patternFill patternType="solid">
        <fgColor rgb="FFFFE699"/>
        <bgColor rgb="FFFFEB9C"/>
      </patternFill>
    </fill>
    <fill>
      <patternFill patternType="solid">
        <fgColor rgb="FFBDD7EE"/>
        <bgColor rgb="FFD9D9D9"/>
      </patternFill>
    </fill>
    <fill>
      <patternFill patternType="solid">
        <fgColor rgb="FFF2F2F2"/>
        <bgColor rgb="FFFFFFFF"/>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1" applyAlignment="1" pivotButton="0" quotePrefix="0" xfId="0">
      <alignment horizontal="left" vertical="center" wrapText="1"/>
    </xf>
    <xf numFmtId="0" fontId="7" fillId="4" borderId="1" applyAlignment="1" pivotButton="0" quotePrefix="0" xfId="0">
      <alignment horizontal="left" vertical="center" wrapText="1"/>
    </xf>
    <xf numFmtId="0" fontId="8" fillId="0" borderId="1" applyAlignment="1" pivotButton="0" quotePrefix="0" xfId="0">
      <alignment horizontal="left" vertical="center" wrapText="1"/>
    </xf>
    <xf numFmtId="0" fontId="4" fillId="2" borderId="0" applyAlignment="1" pivotButton="0" quotePrefix="0" xfId="0">
      <alignment horizontal="general" vertical="bottom"/>
    </xf>
    <xf numFmtId="0" fontId="6" fillId="3" borderId="1" applyAlignment="1" pivotButton="0" quotePrefix="0" xfId="0">
      <alignment horizontal="center" vertical="center" wrapText="1"/>
    </xf>
    <xf numFmtId="0" fontId="8" fillId="4" borderId="1" applyAlignment="1" pivotButton="0" quotePrefix="0" xfId="0">
      <alignment horizontal="left" vertical="center" wrapText="1"/>
    </xf>
    <xf numFmtId="0" fontId="7"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6" borderId="0" applyAlignment="1" pivotButton="0" quotePrefix="0" xfId="0">
      <alignment horizontal="center" vertical="bottom"/>
    </xf>
    <xf numFmtId="0" fontId="14" fillId="4" borderId="0" applyAlignment="1" pivotButton="0" quotePrefix="0" xfId="0">
      <alignment horizontal="general" vertical="bottom"/>
    </xf>
    <xf numFmtId="0" fontId="15" fillId="0" borderId="0" applyAlignment="1" pivotButton="0" quotePrefix="0" xfId="0">
      <alignment horizontal="center" vertical="bottom"/>
    </xf>
    <xf numFmtId="0" fontId="16" fillId="7" borderId="0" applyAlignment="1" pivotButton="0" quotePrefix="0" xfId="0">
      <alignment horizontal="general" vertical="bottom"/>
    </xf>
    <xf numFmtId="0" fontId="17" fillId="5" borderId="0" applyAlignment="1" pivotButton="0" quotePrefix="0" xfId="0">
      <alignment horizontal="general" vertical="bottom"/>
    </xf>
    <xf numFmtId="0" fontId="18" fillId="8" borderId="0" applyAlignment="1" pivotButton="0" quotePrefix="0" xfId="0">
      <alignment horizontal="general" vertical="bottom"/>
    </xf>
    <xf numFmtId="0" fontId="11" fillId="9" borderId="0" applyAlignment="1" pivotButton="0" quotePrefix="0" xfId="0">
      <alignment horizontal="general" vertical="bottom"/>
    </xf>
    <xf numFmtId="0" fontId="19" fillId="10" borderId="0" applyAlignment="1" pivotButton="0" quotePrefix="0" xfId="0">
      <alignment horizontal="general" vertical="bottom"/>
    </xf>
    <xf numFmtId="0" fontId="20" fillId="11" borderId="0" applyAlignment="1" pivotButton="0" quotePrefix="0" xfId="0">
      <alignment horizontal="general" vertical="bottom"/>
    </xf>
    <xf numFmtId="0" fontId="15" fillId="0" borderId="0" applyAlignment="1" pivotButton="0" quotePrefix="0" xfId="0">
      <alignment horizontal="general" vertical="bottom"/>
    </xf>
    <xf numFmtId="0" fontId="21" fillId="0" borderId="0" applyAlignment="1" pivotButton="0" quotePrefix="0" xfId="0">
      <alignment horizontal="general" vertical="bottom"/>
    </xf>
    <xf numFmtId="164" fontId="15" fillId="0" borderId="0" applyAlignment="1" pivotButton="0" quotePrefix="0" xfId="0">
      <alignment horizontal="center" vertical="bottom"/>
    </xf>
    <xf numFmtId="0" fontId="22" fillId="0" borderId="0" applyAlignment="1" pivotButton="0" quotePrefix="0" xfId="0">
      <alignment horizontal="general" vertical="bottom"/>
    </xf>
    <xf numFmtId="0" fontId="11" fillId="0" borderId="0" applyAlignment="1" pivotButton="0" quotePrefix="0" xfId="0">
      <alignment horizontal="general" vertical="bottom"/>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5" fillId="0" borderId="0" applyAlignment="1" pivotButton="0" quotePrefix="0" xfId="0">
      <alignment horizontal="general" vertical="bottom"/>
    </xf>
    <xf numFmtId="0" fontId="25" fillId="2" borderId="0" applyAlignment="1" pivotButton="0" quotePrefix="0" xfId="0">
      <alignment horizontal="center" vertical="center" wrapText="1"/>
    </xf>
    <xf numFmtId="0" fontId="9" fillId="0" borderId="0" applyAlignment="1" pivotButton="0" quotePrefix="0" xfId="0">
      <alignment horizontal="left" vertical="center" wrapText="1"/>
    </xf>
    <xf numFmtId="0" fontId="8" fillId="12" borderId="1" applyAlignment="1" pivotButton="0" quotePrefix="0" xfId="0">
      <alignment horizontal="left" vertical="center" wrapText="1"/>
    </xf>
    <xf numFmtId="0" fontId="13" fillId="6" borderId="1" applyAlignment="1" pivotButton="0" quotePrefix="0" xfId="0">
      <alignment horizontal="center" vertical="center" wrapText="1"/>
    </xf>
    <xf numFmtId="0" fontId="21" fillId="0" borderId="1" applyAlignment="1" pivotButton="0" quotePrefix="0" xfId="0">
      <alignment horizontal="general" vertical="top" wrapText="1"/>
    </xf>
    <xf numFmtId="0" fontId="18" fillId="8" borderId="1" applyAlignment="1" pivotButton="0" quotePrefix="0" xfId="0">
      <alignment horizontal="general" vertical="top" wrapText="1"/>
    </xf>
    <xf numFmtId="0" fontId="24" fillId="4" borderId="1" applyAlignment="1" pivotButton="0" quotePrefix="0" xfId="0">
      <alignment horizontal="general" vertical="top" wrapText="1"/>
    </xf>
    <xf numFmtId="0" fontId="17" fillId="5" borderId="1" applyAlignment="1" pivotButton="0" quotePrefix="0" xfId="0">
      <alignment horizontal="general" vertical="top" wrapText="1"/>
    </xf>
    <xf numFmtId="0" fontId="19" fillId="10" borderId="1" applyAlignment="1" pivotButton="0" quotePrefix="0" xfId="0">
      <alignment horizontal="general" vertical="top" wrapText="1"/>
    </xf>
    <xf numFmtId="0" fontId="14" fillId="4" borderId="1" applyAlignment="1" pivotButton="0" quotePrefix="0" xfId="0">
      <alignment horizontal="general" vertical="top" wrapText="1"/>
    </xf>
    <xf numFmtId="0" fontId="11" fillId="9" borderId="1" applyAlignment="1" pivotButton="0" quotePrefix="0" xfId="0">
      <alignment horizontal="general" vertical="top" wrapText="1"/>
    </xf>
    <xf numFmtId="0" fontId="0" fillId="5" borderId="0" applyAlignment="1" pivotButton="0" quotePrefix="0" xfId="0">
      <alignment horizontal="general" vertical="bottom"/>
    </xf>
    <xf numFmtId="0" fontId="0" fillId="5"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1" applyAlignment="1" pivotButton="0" quotePrefix="0" xfId="0">
      <alignment horizontal="left" vertical="center" wrapText="1"/>
    </xf>
    <xf numFmtId="0" fontId="0" fillId="0" borderId="4" pivotButton="0" quotePrefix="0" xfId="0"/>
    <xf numFmtId="0" fontId="0" fillId="0" borderId="5" pivotButton="0" quotePrefix="0" xfId="0"/>
    <xf numFmtId="0" fontId="7" fillId="4" borderId="1" applyAlignment="1" pivotButton="0" quotePrefix="0" xfId="0">
      <alignment horizontal="left" vertical="center" wrapText="1"/>
    </xf>
    <xf numFmtId="0" fontId="8" fillId="0" borderId="1" applyAlignment="1" pivotButton="0" quotePrefix="0" xfId="0">
      <alignment horizontal="left" vertical="center" wrapText="1"/>
    </xf>
    <xf numFmtId="0" fontId="4" fillId="2" borderId="0" applyAlignment="1" pivotButton="0" quotePrefix="0" xfId="0">
      <alignment horizontal="general" vertical="bottom"/>
    </xf>
    <xf numFmtId="0" fontId="6" fillId="3" borderId="1" applyAlignment="1" pivotButton="0" quotePrefix="0" xfId="0">
      <alignment horizontal="center" vertical="center" wrapText="1"/>
    </xf>
    <xf numFmtId="0" fontId="8" fillId="4" borderId="1" applyAlignment="1" pivotButton="0" quotePrefix="0" xfId="0">
      <alignment horizontal="left" vertical="center" wrapText="1"/>
    </xf>
    <xf numFmtId="0" fontId="7"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6" borderId="0" applyAlignment="1" pivotButton="0" quotePrefix="0" xfId="0">
      <alignment horizontal="center" vertical="bottom"/>
    </xf>
    <xf numFmtId="0" fontId="14" fillId="4" borderId="0" applyAlignment="1" pivotButton="0" quotePrefix="0" xfId="0">
      <alignment horizontal="general" vertical="bottom"/>
    </xf>
    <xf numFmtId="0" fontId="15" fillId="0" borderId="0" applyAlignment="1" pivotButton="0" quotePrefix="0" xfId="0">
      <alignment horizontal="center" vertical="bottom"/>
    </xf>
    <xf numFmtId="0" fontId="16" fillId="7" borderId="0" applyAlignment="1" pivotButton="0" quotePrefix="0" xfId="0">
      <alignment horizontal="general" vertical="bottom"/>
    </xf>
    <xf numFmtId="0" fontId="17" fillId="5" borderId="0" applyAlignment="1" pivotButton="0" quotePrefix="0" xfId="0">
      <alignment horizontal="general" vertical="bottom"/>
    </xf>
    <xf numFmtId="0" fontId="18" fillId="8" borderId="0" applyAlignment="1" pivotButton="0" quotePrefix="0" xfId="0">
      <alignment horizontal="general" vertical="bottom"/>
    </xf>
    <xf numFmtId="0" fontId="11" fillId="9" borderId="0" applyAlignment="1" pivotButton="0" quotePrefix="0" xfId="0">
      <alignment horizontal="general" vertical="bottom"/>
    </xf>
    <xf numFmtId="0" fontId="19" fillId="10" borderId="0" applyAlignment="1" pivotButton="0" quotePrefix="0" xfId="0">
      <alignment horizontal="general" vertical="bottom"/>
    </xf>
    <xf numFmtId="0" fontId="20" fillId="11" borderId="0" applyAlignment="1" pivotButton="0" quotePrefix="0" xfId="0">
      <alignment horizontal="general" vertical="bottom"/>
    </xf>
    <xf numFmtId="0" fontId="15" fillId="0" borderId="0" applyAlignment="1" pivotButton="0" quotePrefix="0" xfId="0">
      <alignment horizontal="general" vertical="bottom"/>
    </xf>
    <xf numFmtId="0" fontId="21" fillId="0" borderId="0" applyAlignment="1" pivotButton="0" quotePrefix="0" xfId="0">
      <alignment horizontal="general" vertical="bottom"/>
    </xf>
    <xf numFmtId="164" fontId="15" fillId="0" borderId="0" applyAlignment="1" pivotButton="0" quotePrefix="0" xfId="0">
      <alignment horizontal="center" vertical="bottom"/>
    </xf>
    <xf numFmtId="0" fontId="22" fillId="0" borderId="0" applyAlignment="1" pivotButton="0" quotePrefix="0" xfId="0">
      <alignment horizontal="general" vertical="bottom"/>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5" fillId="0" borderId="0" applyAlignment="1" pivotButton="0" quotePrefix="0" xfId="0">
      <alignment horizontal="general" vertical="bottom"/>
    </xf>
    <xf numFmtId="0" fontId="25" fillId="2" borderId="0" applyAlignment="1" pivotButton="0" quotePrefix="0" xfId="0">
      <alignment horizontal="center" vertical="center" wrapText="1"/>
    </xf>
    <xf numFmtId="0" fontId="9" fillId="0" borderId="0" applyAlignment="1" pivotButton="0" quotePrefix="0" xfId="0">
      <alignment horizontal="left" vertical="center" wrapText="1"/>
    </xf>
    <xf numFmtId="0" fontId="8" fillId="12" borderId="1" applyAlignment="1" pivotButton="0" quotePrefix="0" xfId="0">
      <alignment horizontal="left" vertical="center" wrapText="1"/>
    </xf>
    <xf numFmtId="0" fontId="13" fillId="6" borderId="1" applyAlignment="1" pivotButton="0" quotePrefix="0" xfId="0">
      <alignment horizontal="center" vertical="center" wrapText="1"/>
    </xf>
    <xf numFmtId="0" fontId="21" fillId="0" borderId="1" applyAlignment="1" pivotButton="0" quotePrefix="0" xfId="0">
      <alignment horizontal="general" vertical="top" wrapText="1"/>
    </xf>
    <xf numFmtId="0" fontId="18" fillId="8" borderId="1" applyAlignment="1" pivotButton="0" quotePrefix="0" xfId="0">
      <alignment horizontal="general" vertical="top" wrapText="1"/>
    </xf>
    <xf numFmtId="0" fontId="24" fillId="4" borderId="1" applyAlignment="1" pivotButton="0" quotePrefix="0" xfId="0">
      <alignment horizontal="general" vertical="top" wrapText="1"/>
    </xf>
    <xf numFmtId="0" fontId="17" fillId="5" borderId="1" applyAlignment="1" pivotButton="0" quotePrefix="0" xfId="0">
      <alignment horizontal="general" vertical="top" wrapText="1"/>
    </xf>
    <xf numFmtId="0" fontId="19" fillId="10" borderId="1" applyAlignment="1" pivotButton="0" quotePrefix="0" xfId="0">
      <alignment horizontal="general" vertical="top" wrapText="1"/>
    </xf>
    <xf numFmtId="0" fontId="14" fillId="4" borderId="1" applyAlignment="1" pivotButton="0" quotePrefix="0" xfId="0">
      <alignment horizontal="general" vertical="top" wrapText="1"/>
    </xf>
    <xf numFmtId="0" fontId="11" fillId="9" borderId="1" applyAlignment="1" pivotButton="0" quotePrefix="0" xfId="0">
      <alignment horizontal="general" vertical="top" wrapText="1"/>
    </xf>
    <xf numFmtId="0" fontId="0" fillId="5" borderId="0" applyAlignment="1" pivotButton="0" quotePrefix="0" xfId="0">
      <alignment horizontal="general" vertical="bottom"/>
    </xf>
    <xf numFmtId="0" fontId="0" fillId="5"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ill>
        <patternFill patternType="solid">
          <fgColor rgb="FF305496"/>
          <bgColor rgb="FF000000"/>
        </patternFill>
      </fill>
    </dxf>
    <dxf>
      <fill>
        <patternFill patternType="solid">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FFE699"/>
          <bgColor rgb="FF000000"/>
        </patternFill>
      </fill>
    </dxf>
    <dxf>
      <fill>
        <patternFill patternType="solid">
          <fgColor rgb="FF7F6000"/>
          <bgColor rgb="FF000000"/>
        </patternFill>
      </fill>
    </dxf>
    <dxf>
      <fill>
        <patternFill patternType="solid">
          <fgColor rgb="FF9C0006"/>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595959"/>
          <bgColor rgb="FF000000"/>
        </patternFill>
      </fill>
    </dxf>
    <dxf>
      <fill>
        <patternFill patternType="solid">
          <fgColor rgb="FF9C5700"/>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2F2F2"/>
      <rgbColor rgb="FFD9D9D9"/>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FFE699"/>
      <rgbColor rgb="FFC6EFCE"/>
      <rgbColor rgb="FFFFEB9C"/>
      <rgbColor rgb="FF99CCFF"/>
      <rgbColor rgb="FFFF99CC"/>
      <rgbColor rgb="FFCC99FF"/>
      <rgbColor rgb="FFFFC7CE"/>
      <rgbColor rgb="FF2E75B6"/>
      <rgbColor rgb="FF33CCCC"/>
      <rgbColor rgb="FF99CC00"/>
      <rgbColor rgb="FFFFCC00"/>
      <rgbColor rgb="FFFF9900"/>
      <rgbColor rgb="FFFF6600"/>
      <rgbColor rgb="FF595959"/>
      <rgbColor rgb="FF969696"/>
      <rgbColor rgb="FF1F4E79"/>
      <rgbColor rgb="FF339966"/>
      <rgbColor rgb="FF003300"/>
      <rgbColor rgb="FF333300"/>
      <rgbColor rgb="FF9C57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backlog.xlsx" TargetMode="External" Id="rId1"/><Relationship Type="http://schemas.openxmlformats.org/officeDocument/2006/relationships/hyperlink" Target="backlog.xlsx" TargetMode="External" Id="rId2"/><Relationship Type="http://schemas.openxmlformats.org/officeDocument/2006/relationships/hyperlink" Target="backlog.xlsx" TargetMode="External" Id="rId3"/><Relationship Type="http://schemas.openxmlformats.org/officeDocument/2006/relationships/hyperlink" Target="backlog.xlsx" TargetMode="External" Id="rId4"/><Relationship Type="http://schemas.openxmlformats.org/officeDocument/2006/relationships/hyperlink" Target="backlog.xlsx" TargetMode="External" Id="rId5"/><Relationship Type="http://schemas.openxmlformats.org/officeDocument/2006/relationships/hyperlink" Target="backlog.xlsx" TargetMode="External" Id="rId6"/><Relationship Type="http://schemas.openxmlformats.org/officeDocument/2006/relationships/hyperlink" Target="backlog.xlsx" TargetMode="External" Id="rId7"/><Relationship Type="http://schemas.openxmlformats.org/officeDocument/2006/relationships/hyperlink" Target="backlog.xlsx" TargetMode="External" Id="rId8"/><Relationship Type="http://schemas.openxmlformats.org/officeDocument/2006/relationships/hyperlink" Target="backlog.xlsx" TargetMode="External" Id="rId9"/></Relationships>
</file>

<file path=xl/worksheets/sheet1.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46" min="1" max="2"/>
    <col width="8" customWidth="1" style="46" min="3" max="3"/>
    <col width="28" customWidth="1" style="46" min="4" max="6"/>
  </cols>
  <sheetData>
    <row r="1" ht="31.5" customHeight="1" s="47">
      <c r="A1" s="48" t="inlineStr">
        <is>
          <t>PHASE 2 — CLOSED 2026-05-20</t>
        </is>
      </c>
    </row>
    <row r="2" ht="21.75" customHeight="1" s="47">
      <c r="A2" s="49" t="inlineStr">
        <is>
          <t>All 11 similarity engines built · Both performance index gates passing · Test suite green · Ready for Phase 3</t>
        </is>
      </c>
    </row>
    <row r="4" ht="15" customHeight="1" s="47">
      <c r="A4" s="50" t="inlineStr">
        <is>
          <t>Layer</t>
        </is>
      </c>
      <c r="B4" s="50" t="inlineStr">
        <is>
          <t>Status</t>
        </is>
      </c>
      <c r="C4" s="51" t="n"/>
      <c r="D4" s="51" t="n"/>
      <c r="E4" s="51" t="n"/>
      <c r="F4" s="52" t="n"/>
    </row>
    <row r="5" ht="42" customHeight="1" s="47">
      <c r="A5" s="53" t="inlineStr">
        <is>
          <t>Similarity engines</t>
        </is>
      </c>
      <c r="B5" s="54" t="inlineStr">
        <is>
          <t>11 / 11 built: pitcher (GMM W₂); batter/fielder/baserunner-advance/baserunner-steal/catcher v2/pitcher-steal/manager (RBF); situation (KDTree); pitch-to-pitch + batted-ball (FAISS)</t>
        </is>
      </c>
      <c r="C5" s="51" t="n"/>
      <c r="D5" s="51" t="n"/>
      <c r="E5" s="51" t="n"/>
      <c r="F5" s="52" t="n"/>
    </row>
    <row r="6" ht="42" customHeight="1" s="47">
      <c r="A6" s="53" t="inlineStr">
        <is>
          <t>Database schema</t>
        </is>
      </c>
      <c r="B6" s="54" t="inlineStr">
        <is>
          <t>12 Alembic migrations (0001 → 0012); 3 DuckDB migrations (0001 → 0003); 11 alembic + 3 duckdb chain integrity verified</t>
        </is>
      </c>
      <c r="C6" s="51" t="n"/>
      <c r="D6" s="51" t="n"/>
      <c r="E6" s="51" t="n"/>
      <c r="F6" s="52" t="n"/>
    </row>
    <row r="7" ht="42" customHeight="1" s="47">
      <c r="A7" s="53" t="inlineStr">
        <is>
          <t>Performance index gates</t>
        </is>
      </c>
      <c r="B7" s="54" t="inlineStr">
        <is>
          <t>SIM-085 idx_pitches_situation: PASS against live 2024 staging. SIM-089 idx_pitches_pitcher_season_clean: PASS (6.77 ms / 50 ms budget)</t>
        </is>
      </c>
      <c r="C7" s="51" t="n"/>
      <c r="D7" s="51" t="n"/>
      <c r="E7" s="51" t="n"/>
      <c r="F7" s="52" t="n"/>
    </row>
    <row r="8" ht="42" customHeight="1" s="47">
      <c r="A8" s="53" t="inlineStr">
        <is>
          <t>Test infrastructure</t>
        </is>
      </c>
      <c r="B8" s="54" t="inlineStr">
        <is>
          <t>767 unit/integration tests passing, 22 skipped (env-dependent), 0 failed. Smoke tests green. Integration tests Docker-aware.</t>
        </is>
      </c>
      <c r="C8" s="51" t="n"/>
      <c r="D8" s="51" t="n"/>
      <c r="E8" s="51" t="n"/>
      <c r="F8" s="52" t="n"/>
    </row>
    <row r="9" ht="42" customHeight="1" s="47">
      <c r="A9" s="53" t="inlineStr">
        <is>
          <t>Phase 3 architecture spec</t>
        </is>
      </c>
      <c r="B9" s="54" t="inlineStr">
        <is>
          <t>docs/architecture/2026-05-20-play-pool.md accepted: pre-filter contract, sub-index materialization, recency lifecycle, PlayPoolSampler API, performance budget</t>
        </is>
      </c>
      <c r="C9" s="51" t="n"/>
      <c r="D9" s="51" t="n"/>
      <c r="E9" s="51" t="n"/>
      <c r="F9" s="52" t="n"/>
    </row>
    <row r="10" ht="42" customHeight="1" s="47">
      <c r="A10" s="53" t="inlineStr">
        <is>
          <t>Program audit</t>
        </is>
      </c>
      <c r="B10" s="54" t="inlineStr">
        <is>
          <t>Full 9-agent audit complete (docs/audit/2026-05-21-program-audit.md). 53 prioritized follow-up tickets filed (47 new + 6 pre-existing)</t>
        </is>
      </c>
      <c r="C10" s="51" t="n"/>
      <c r="D10" s="51" t="n"/>
      <c r="E10" s="51" t="n"/>
      <c r="F10" s="52" t="n"/>
    </row>
    <row r="11" ht="42" customHeight="1" s="47">
      <c r="A11" s="53" t="inlineStr">
        <is>
          <t>Operator runbook</t>
        </is>
      </c>
      <c r="B11" s="54" t="inlineStr">
        <is>
          <t>WORKFLOW.md formatted for Windows cmd; covers ETL → DuckDB build → FastAPI serve → similarity API → smoke tests</t>
        </is>
      </c>
      <c r="C11" s="51" t="n"/>
      <c r="D11" s="51" t="n"/>
      <c r="E11" s="51" t="n"/>
      <c r="F11" s="52" t="n"/>
    </row>
    <row r="12" ht="42" customHeight="1" s="47">
      <c r="A12" s="53" t="inlineStr">
        <is>
          <t>Operational issues resolved</t>
        </is>
      </c>
      <c r="B12" s="54" t="inlineStr">
        <is>
          <t>Postgres port conflict (host 5433 permanent via DB_HOST_PORT in .env); OneDrive sync truncation patterns documented; SIM-163 IS NOT DISTINCT FROM regression caught + fixed</t>
        </is>
      </c>
      <c r="C12" s="51" t="n"/>
      <c r="D12" s="51" t="n"/>
      <c r="E12" s="51" t="n"/>
      <c r="F12" s="52" t="n"/>
    </row>
    <row r="15" ht="24" customHeight="1" s="47">
      <c r="A15" s="55" t="inlineStr">
        <is>
          <t>Sprint history</t>
        </is>
      </c>
    </row>
    <row r="16" ht="15" customHeight="1" s="47">
      <c r="A16" s="56" t="inlineStr">
        <is>
          <t>Sprint</t>
        </is>
      </c>
      <c r="B16" s="56" t="inlineStr">
        <is>
          <t>Theme</t>
        </is>
      </c>
      <c r="C16" s="56" t="inlineStr">
        <is>
          <t>Tickets</t>
        </is>
      </c>
      <c r="D16" s="56" t="inlineStr">
        <is>
          <t>Disposition</t>
        </is>
      </c>
      <c r="E16" s="56" t="inlineStr">
        <is>
          <t>Outcome</t>
        </is>
      </c>
      <c r="F16" s="52" t="n"/>
    </row>
    <row r="17" ht="31.5" customHeight="1" s="47">
      <c r="A17" s="54" t="inlineStr">
        <is>
          <t>2026-05-06 + 07</t>
        </is>
      </c>
      <c r="B17" s="54" t="inlineStr">
        <is>
          <t>Data + Backend Stabilisation</t>
        </is>
      </c>
      <c r="C17" s="54" t="inlineStr">
        <is>
          <t>16 (SIM-085/086/087/088/089/091/092/093/101/102/103/104/105/106/148/153)</t>
        </is>
      </c>
      <c r="D17" s="57" t="inlineStr">
        <is>
          <t>Closed 2026-05-07</t>
        </is>
      </c>
      <c r="E17" s="54" t="inlineStr">
        <is>
          <t>11 Alembic migrations baseline; backend live-pipeline hardened</t>
        </is>
      </c>
      <c r="F17" s="52" t="n"/>
    </row>
    <row r="18" ht="31.5" customHeight="1" s="47">
      <c r="A18" s="54" t="inlineStr">
        <is>
          <t>2026-05-13</t>
        </is>
      </c>
      <c r="B18" s="54" t="inlineStr">
        <is>
          <t>Phase 2 Closure &amp; Engine Build-out</t>
        </is>
      </c>
      <c r="C18" s="54" t="inlineStr">
        <is>
          <t>7 (SIM-072/073/041/042/157/158/159)</t>
        </is>
      </c>
      <c r="D18" s="57" t="inlineStr">
        <is>
          <t>Closed 2026-05-14</t>
        </is>
      </c>
      <c r="E18" s="54" t="inlineStr">
        <is>
          <t>Catcher v2 (5 sub-scores); pitch-to-pitch + batted-ball FAISS engines; index acceptance harness</t>
        </is>
      </c>
      <c r="F18" s="52" t="n"/>
    </row>
    <row r="19" ht="31.5" customHeight="1" s="47">
      <c r="A19" s="54" t="inlineStr">
        <is>
          <t>2026-05-20</t>
        </is>
      </c>
      <c r="B19" s="54" t="inlineStr">
        <is>
          <t>Phase 2 hardening &amp; Phase 3 kickoff</t>
        </is>
      </c>
      <c r="C19" s="54" t="inlineStr">
        <is>
          <t>7 (SIM-051/160/162/149/150/300/161)</t>
        </is>
      </c>
      <c r="D19" s="57" t="inlineStr">
        <is>
          <t>Closed 2026-05-20</t>
        </is>
      </c>
      <c r="E19" s="54" t="inlineStr">
        <is>
          <t>All Phase 2 engine unit tests; SIM-051 spray angle; Phase 3 spec accepted; live index runs PASS</t>
        </is>
      </c>
      <c r="F19" s="52" t="n"/>
    </row>
    <row r="22" ht="24" customHeight="1" s="47">
      <c r="A22" s="55" t="inlineStr">
        <is>
          <t>Phase 3 entry — Tier P0 tickets (next two sprints)</t>
        </is>
      </c>
    </row>
    <row r="23" ht="15" customHeight="1" s="47">
      <c r="A23" s="56" t="inlineStr">
        <is>
          <t>Ticket</t>
        </is>
      </c>
      <c r="B23" s="56" t="inlineStr">
        <is>
          <t>Owner</t>
        </is>
      </c>
      <c r="C23" s="56" t="inlineStr">
        <is>
          <t>Size</t>
        </is>
      </c>
      <c r="D23" s="56" t="inlineStr">
        <is>
          <t>Why P0</t>
        </is>
      </c>
      <c r="E23" s="51" t="n"/>
      <c r="F23" s="52" t="n"/>
    </row>
    <row r="24" ht="37.5" customHeight="1" s="47">
      <c r="A24" s="58" t="inlineStr">
        <is>
          <t>SIM-301</t>
        </is>
      </c>
      <c r="B24" s="54" t="inlineStr">
        <is>
          <t>Backend Developer</t>
        </is>
      </c>
      <c r="C24" s="59" t="inlineStr">
        <is>
          <t>M</t>
        </is>
      </c>
      <c r="D24" s="54" t="inlineStr">
        <is>
          <t>Play-pool nightly cache serializer — first concrete Phase 3 deliverable. Materializes pre-filtered FAISS indexes onto disk for hot-load.</t>
        </is>
      </c>
      <c r="E24" s="51" t="n"/>
      <c r="F24" s="52" t="n"/>
    </row>
    <row r="25" ht="37.5" customHeight="1" s="47">
      <c r="A25" s="58" t="inlineStr">
        <is>
          <t>SIM-302</t>
        </is>
      </c>
      <c r="B25" s="54" t="inlineStr">
        <is>
          <t>Backend + ML Engineer</t>
        </is>
      </c>
      <c r="C25" s="59" t="inlineStr">
        <is>
          <t>M</t>
        </is>
      </c>
      <c r="D25" s="54" t="inlineStr">
        <is>
          <t>PlayPoolSampler API surface — how the sim loop will pull pitches/plays. Defines query contract for Phase 4.</t>
        </is>
      </c>
      <c r="E25" s="51" t="n"/>
      <c r="F25" s="52" t="n"/>
    </row>
    <row r="26" ht="37.5" customHeight="1" s="47">
      <c r="A26" s="58" t="inlineStr">
        <is>
          <t>SIM-303</t>
        </is>
      </c>
      <c r="B26" s="54" t="inlineStr">
        <is>
          <t>Backend Developer</t>
        </is>
      </c>
      <c r="C26" s="59" t="inlineStr">
        <is>
          <t>M</t>
        </is>
      </c>
      <c r="D26" s="54" t="inlineStr">
        <is>
          <t>Wire sampler into Phase 4 simulation-loop scaffold. Last Phase 3 ticket before Phase 4 implementation begins.</t>
        </is>
      </c>
      <c r="E26" s="51" t="n"/>
      <c r="F26" s="52" t="n"/>
    </row>
    <row r="27" ht="37.5" customHeight="1" s="47">
      <c r="A27" s="58" t="inlineStr">
        <is>
          <t>SIM-220</t>
        </is>
      </c>
      <c r="B27" s="54" t="inlineStr">
        <is>
          <t>ML Engineer</t>
        </is>
      </c>
      <c r="C27" s="59" t="inlineStr">
        <is>
          <t>L</t>
        </is>
      </c>
      <c r="D27" s="54" t="inlineStr">
        <is>
          <t>Backtesting framework — no simulator output is verifiable without this. Walk-forward + golden-file fixtures.</t>
        </is>
      </c>
      <c r="E27" s="51" t="n"/>
      <c r="F27" s="52" t="n"/>
    </row>
    <row r="28" ht="37.5" customHeight="1" s="47">
      <c r="A28" s="58" t="inlineStr">
        <is>
          <t>SIM-201</t>
        </is>
      </c>
      <c r="B28" s="54" t="inlineStr">
        <is>
          <t>Baseball Analyst</t>
        </is>
      </c>
      <c r="C28" s="59" t="inlineStr">
        <is>
          <t>L</t>
        </is>
      </c>
      <c r="D28" s="54" t="inlineStr">
        <is>
          <t>Manager decision logic spec — required for Step 7 of the sim loop. Probably needs its own sprint.</t>
        </is>
      </c>
      <c r="E28" s="51" t="n"/>
      <c r="F28" s="52" t="n"/>
    </row>
    <row r="29" ht="37.5" customHeight="1" s="47">
      <c r="A29" s="58" t="inlineStr">
        <is>
          <t>SIM-202</t>
        </is>
      </c>
      <c r="B29" s="54" t="inlineStr">
        <is>
          <t>Baseball Analyst</t>
        </is>
      </c>
      <c r="C29" s="59" t="inlineStr">
        <is>
          <t>S</t>
        </is>
      </c>
      <c r="D29" s="54" t="inlineStr">
        <is>
          <t>Centralize run-value constants in simulation/constants.py. Prerequisite for Phase 4 cleanup.</t>
        </is>
      </c>
      <c r="E29" s="51" t="n"/>
      <c r="F29" s="52" t="n"/>
    </row>
    <row r="30" ht="37.5" customHeight="1" s="47">
      <c r="A30" s="58" t="inlineStr">
        <is>
          <t>SIM-118</t>
        </is>
      </c>
      <c r="B30" s="54" t="inlineStr">
        <is>
          <t>Performance Engineer</t>
        </is>
      </c>
      <c r="C30" s="59" t="inlineStr">
        <is>
          <t>M</t>
        </is>
      </c>
      <c r="D30" s="54" t="inlineStr">
        <is>
          <t>pytest-benchmark harness — no measurable SLA without it. Engine query latency, GMM fit, sim loop stubs.</t>
        </is>
      </c>
      <c r="E30" s="51" t="n"/>
      <c r="F30" s="52" t="n"/>
    </row>
    <row r="31" ht="37.5" customHeight="1" s="47">
      <c r="A31" s="58" t="inlineStr">
        <is>
          <t>SIM-280</t>
        </is>
      </c>
      <c r="B31" s="54" t="inlineStr">
        <is>
          <t>Performance Engineer</t>
        </is>
      </c>
      <c r="C31" s="59" t="inlineStr">
        <is>
          <t>S</t>
        </is>
      </c>
      <c r="D31" s="54" t="inlineStr">
        <is>
          <t>Per-engine RAM budget within the 2 GB SIM-114 envelope. Required before play-pool cache is sized.</t>
        </is>
      </c>
      <c r="E31" s="51" t="n"/>
      <c r="F31" s="52" t="n"/>
    </row>
    <row r="32" ht="37.5" customHeight="1" s="47">
      <c r="A32" s="58" t="inlineStr">
        <is>
          <t>SIM-281</t>
        </is>
      </c>
      <c r="B32" s="54" t="inlineStr">
        <is>
          <t>Performance Engineer</t>
        </is>
      </c>
      <c r="C32" s="59" t="inlineStr">
        <is>
          <t>S</t>
        </is>
      </c>
      <c r="D32" s="54" t="inlineStr">
        <is>
          <t>ProcessPoolExecutor + shared-memory architecture decision. Locks the Phase 4 parallelism model.</t>
        </is>
      </c>
      <c r="E32" s="51" t="n"/>
      <c r="F32" s="52" t="n"/>
    </row>
    <row r="35" ht="24" customHeight="1" s="47">
      <c r="A35" s="55" t="inlineStr">
        <is>
          <t>Open follow-ups from Phase 2 sprints</t>
        </is>
      </c>
    </row>
    <row r="36" ht="15" customHeight="1" s="47">
      <c r="A36" s="56" t="inlineStr">
        <is>
          <t>Ticket</t>
        </is>
      </c>
      <c r="B36" s="56" t="inlineStr">
        <is>
          <t>Owner</t>
        </is>
      </c>
      <c r="C36" s="56" t="inlineStr">
        <is>
          <t>Size</t>
        </is>
      </c>
      <c r="D36" s="56" t="inlineStr">
        <is>
          <t>Description</t>
        </is>
      </c>
      <c r="E36" s="51" t="n"/>
      <c r="F36" s="52" t="n"/>
    </row>
    <row r="37" ht="37.5" customHeight="1" s="47">
      <c r="A37" s="59" t="inlineStr">
        <is>
          <t>SIM-163</t>
        </is>
      </c>
      <c r="B37" s="54" t="inlineStr">
        <is>
          <t>Performance Engineer</t>
        </is>
      </c>
      <c r="C37" s="59" t="inlineStr">
        <is>
          <t>S</t>
        </is>
      </c>
      <c r="D37" s="54" t="inlineStr">
        <is>
          <t>Re-verify SIM-085 latency on cold cache + consider INCLUDE columns on idx_pitches_situation for Index Only Scan (10x potential speedup).</t>
        </is>
      </c>
      <c r="E37" s="51" t="n"/>
      <c r="F37" s="52" t="n"/>
    </row>
    <row r="40" ht="15" customHeight="1" s="47">
      <c r="A40" s="60" t="inlineStr">
        <is>
          <t>See docs/HANDOFF_PHASE3.md for the full Phase 3 onboarding doc.</t>
        </is>
      </c>
    </row>
  </sheetData>
  <mergeCells count="31">
    <mergeCell ref="B4:F4"/>
    <mergeCell ref="B7:F7"/>
    <mergeCell ref="D27:F27"/>
    <mergeCell ref="D32:F32"/>
    <mergeCell ref="E17:F17"/>
    <mergeCell ref="A2:F2"/>
    <mergeCell ref="B12:F12"/>
    <mergeCell ref="D28:F28"/>
    <mergeCell ref="D37:F37"/>
    <mergeCell ref="B11:F11"/>
    <mergeCell ref="E19:F19"/>
    <mergeCell ref="A22:F22"/>
    <mergeCell ref="A35:F35"/>
    <mergeCell ref="B8:F8"/>
    <mergeCell ref="D30:F30"/>
    <mergeCell ref="D25:F25"/>
    <mergeCell ref="D24:F24"/>
    <mergeCell ref="D29:F29"/>
    <mergeCell ref="D23:F23"/>
    <mergeCell ref="B10:F10"/>
    <mergeCell ref="D26:F26"/>
    <mergeCell ref="A40:F40"/>
    <mergeCell ref="A15:F15"/>
    <mergeCell ref="B9:F9"/>
    <mergeCell ref="B6:F6"/>
    <mergeCell ref="E16:F16"/>
    <mergeCell ref="D31:F31"/>
    <mergeCell ref="A1:F1"/>
    <mergeCell ref="B5:F5"/>
    <mergeCell ref="D36:F36"/>
    <mergeCell ref="E18:F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G47"/>
  <sheetViews>
    <sheetView showFormulas="0" showGridLines="0" showRowColHeaders="1" showZeros="1" rightToLeft="0" tabSelected="0" showOutlineSymbols="1" defaultGridColor="1" view="normal" topLeftCell="A3" colorId="64" zoomScale="100" zoomScaleNormal="100" zoomScalePageLayoutView="100" workbookViewId="0">
      <selection pane="topLeft" activeCell="B28" activeCellId="0" sqref="B28"/>
    </sheetView>
  </sheetViews>
  <sheetFormatPr baseColWidth="8" defaultColWidth="8.71484375" defaultRowHeight="15" customHeight="0" zeroHeight="0" outlineLevelRow="0"/>
  <cols>
    <col width="2" customWidth="1" style="46" min="1" max="1"/>
    <col width="28" customWidth="1" style="46" min="2" max="2"/>
    <col width="12" customWidth="1" style="46" min="3" max="3"/>
    <col width="4" customWidth="1" style="46" min="4" max="4"/>
    <col width="28" customWidth="1" style="46" min="5" max="5"/>
    <col width="12" customWidth="1" style="46" min="6" max="6"/>
    <col width="24" customWidth="1" style="46" min="7" max="7"/>
  </cols>
  <sheetData>
    <row r="2" ht="25.5" customHeight="1" s="47">
      <c r="B2" s="61" t="inlineStr">
        <is>
          <t>MLB Baseball Simulation Platform — Backlog Dashboard (Phase 3 COMPLETE)</t>
        </is>
      </c>
    </row>
    <row r="3" ht="15" customHeight="1" s="47">
      <c r="B3" s="62" t="inlineStr">
        <is>
          <t>Generated 2026-05-21 — PHASE 3 COMPLETE; Phase-3-close program audit filed 41 Phase 4 tickets (SIM-220 + SIM-310..349). See docs/audit/2026-06-10-*.</t>
        </is>
      </c>
    </row>
    <row r="5" ht="15" customHeight="1" s="47">
      <c r="B5" s="63" t="inlineStr">
        <is>
          <t>Tickets by Status</t>
        </is>
      </c>
      <c r="E5" s="63" t="inlineStr">
        <is>
          <t>Tickets by Priority (Open + Held)</t>
        </is>
      </c>
    </row>
    <row r="6" ht="15" customHeight="1" s="47">
      <c r="B6" s="64" t="inlineStr">
        <is>
          <t>Status</t>
        </is>
      </c>
      <c r="C6" s="64" t="inlineStr">
        <is>
          <t>Count</t>
        </is>
      </c>
      <c r="E6" s="64" t="inlineStr">
        <is>
          <t>Priority</t>
        </is>
      </c>
      <c r="F6" s="64" t="inlineStr">
        <is>
          <t>Count</t>
        </is>
      </c>
    </row>
    <row r="7" ht="15" customHeight="1" s="47">
      <c r="B7" s="65" t="inlineStr">
        <is>
          <t>Closed</t>
        </is>
      </c>
      <c r="C7" s="66">
        <f>COUNTIF('Full Backlog'!$H$2:$H$1000,"Closed")</f>
        <v/>
      </c>
      <c r="E7" s="67" t="inlineStr">
        <is>
          <t>P0</t>
        </is>
      </c>
      <c r="F7" s="66">
        <f>COUNTIFS('Full Backlog'!$E$2:$E$1000,"P0",'Full Backlog'!$H$2:$H$1000,"Open")+COUNTIFS('Full Backlog'!$E$2:$E$1000,"P0",'Full Backlog'!$H$2:$H$1000,"Held")</f>
        <v/>
      </c>
    </row>
    <row r="8" ht="15" customHeight="1" s="47">
      <c r="B8" s="68" t="inlineStr">
        <is>
          <t>Open</t>
        </is>
      </c>
      <c r="C8" s="66">
        <f>COUNTIF('Full Backlog'!$H$2:$H$1000,"Open")</f>
        <v/>
      </c>
      <c r="E8" s="69" t="inlineStr">
        <is>
          <t>P1</t>
        </is>
      </c>
      <c r="F8" s="66">
        <f>COUNTIFS('Full Backlog'!$E$2:$E$1000,"P1",'Full Backlog'!$H$2:$H$1000,"Open")+COUNTIFS('Full Backlog'!$E$2:$E$1000,"P1",'Full Backlog'!$H$2:$H$1000,"Held")</f>
        <v/>
      </c>
    </row>
    <row r="9" ht="15" customHeight="1" s="47">
      <c r="B9" s="70" t="inlineStr">
        <is>
          <t>Held</t>
        </is>
      </c>
      <c r="C9" s="66">
        <f>COUNTIF('Full Backlog'!$H$2:$H$1000,"Held")</f>
        <v/>
      </c>
      <c r="E9" s="71" t="inlineStr">
        <is>
          <t>P2</t>
        </is>
      </c>
      <c r="F9" s="66">
        <f>COUNTIFS('Full Backlog'!$E$2:$E$1000,"P2",'Full Backlog'!$H$2:$H$1000,"Open")+COUNTIFS('Full Backlog'!$E$2:$E$1000,"P2",'Full Backlog'!$H$2:$H$1000,"Held")</f>
        <v/>
      </c>
    </row>
    <row r="10" ht="15" customHeight="1" s="47">
      <c r="B10" s="72" t="inlineStr">
        <is>
          <t>In Progress</t>
        </is>
      </c>
      <c r="C10" s="66">
        <f>COUNTIF('Full Backlog'!$H$2:$H$1000,"In Progress")</f>
        <v/>
      </c>
      <c r="E10" s="46" t="inlineStr">
        <is>
          <t>P3</t>
        </is>
      </c>
      <c r="F10" s="66">
        <f>COUNTIFS('Full Backlog'!$E$2:$E$1000,"P3",'Full Backlog'!$H$2:$H$1000,"Open")+COUNTIFS('Full Backlog'!$E$2:$E$1000,"P3",'Full Backlog'!$H$2:$H$1000,"Held")</f>
        <v/>
      </c>
    </row>
    <row r="11" ht="15" customHeight="1" s="47">
      <c r="B11" s="73" t="inlineStr">
        <is>
          <t>Total</t>
        </is>
      </c>
      <c r="C11" s="66">
        <f>SUM(C7:C10)</f>
        <v/>
      </c>
    </row>
    <row r="13" ht="15" customHeight="1" s="47">
      <c r="B13" s="63" t="inlineStr">
        <is>
          <t>Open Tickets by Assignee Role</t>
        </is>
      </c>
      <c r="E13" s="63" t="inlineStr">
        <is>
          <t>Current Sprint (2026-06-10)</t>
        </is>
      </c>
    </row>
    <row r="14" ht="15" customHeight="1" s="47">
      <c r="B14" s="64" t="inlineStr">
        <is>
          <t>Role</t>
        </is>
      </c>
      <c r="C14" s="64" t="inlineStr">
        <is>
          <t>Open</t>
        </is>
      </c>
      <c r="E14" s="64" t="inlineStr">
        <is>
          <t>Metric</t>
        </is>
      </c>
      <c r="F14" s="64" t="inlineStr">
        <is>
          <t>Value</t>
        </is>
      </c>
    </row>
    <row r="15" ht="15" customHeight="1" s="47">
      <c r="B15" s="74" t="inlineStr">
        <is>
          <t>Data Engineer</t>
        </is>
      </c>
      <c r="C15" s="66">
        <f>SUMPRODUCT((ISNUMBER(SEARCH("Data Engineer",'Full Backlog'!$G$2:$G$1000)))*('Full Backlog'!$H$2:$H$1000="Open"))</f>
        <v/>
      </c>
      <c r="E15" s="74" t="inlineStr">
        <is>
          <t>Total tickets</t>
        </is>
      </c>
      <c r="F15" s="66">
        <f>COUNTIF('Current Sprint'!A5:A100,"SIM-*")</f>
        <v/>
      </c>
    </row>
    <row r="16" ht="15" customHeight="1" s="47">
      <c r="B16" s="74" t="inlineStr">
        <is>
          <t>Backend Developer</t>
        </is>
      </c>
      <c r="C16" s="66">
        <f>SUMPRODUCT((ISNUMBER(SEARCH("Backend Developer",'Full Backlog'!$G$2:$G$1000)))*('Full Backlog'!$H$2:$H$1000="Open"))</f>
        <v/>
      </c>
      <c r="E16" s="74" t="inlineStr">
        <is>
          <t>Open</t>
        </is>
      </c>
      <c r="F16" s="66">
        <f>COUNTIF('Current Sprint'!$H$2:$H$100,"Open")</f>
        <v/>
      </c>
    </row>
    <row r="17" ht="15" customHeight="1" s="47">
      <c r="B17" s="74" t="inlineStr">
        <is>
          <t>ML Engineer</t>
        </is>
      </c>
      <c r="C17" s="66">
        <f>SUMPRODUCT((ISNUMBER(SEARCH("ML Engineer",'Full Backlog'!$G$2:$G$1000)))*('Full Backlog'!$H$2:$H$1000="Open"))</f>
        <v/>
      </c>
      <c r="E17" s="74" t="inlineStr">
        <is>
          <t>Closed</t>
        </is>
      </c>
      <c r="F17" s="66">
        <f>COUNTIF('Current Sprint'!$H$2:$H$100,"Closed")</f>
        <v/>
      </c>
    </row>
    <row r="18" ht="15" customHeight="1" s="47">
      <c r="B18" s="74" t="inlineStr">
        <is>
          <t>Baseball Analyst</t>
        </is>
      </c>
      <c r="C18" s="66">
        <f>SUMPRODUCT((ISNUMBER(SEARCH("Baseball Analyst",'Full Backlog'!$G$2:$G$1000)))*('Full Backlog'!$H$2:$H$1000="Open"))</f>
        <v/>
      </c>
      <c r="E18" s="74" t="inlineStr">
        <is>
          <t>% Complete</t>
        </is>
      </c>
      <c r="F18" s="75">
        <f>IFERROR(F17/F15, 0)</f>
        <v/>
      </c>
    </row>
    <row r="19" ht="15" customHeight="1" s="47">
      <c r="B19" s="74" t="inlineStr">
        <is>
          <t>Performance Engineer</t>
        </is>
      </c>
      <c r="C19" s="66">
        <f>SUMPRODUCT((ISNUMBER(SEARCH("Performance Engineer",'Full Backlog'!$G$2:$G$1000)))*('Full Backlog'!$H$2:$H$1000="Open"))</f>
        <v/>
      </c>
    </row>
    <row r="20" ht="15" customHeight="1" s="47">
      <c r="B20" s="74" t="inlineStr">
        <is>
          <t>QA/DevOps</t>
        </is>
      </c>
      <c r="C20" s="66">
        <f>SUMPRODUCT((ISNUMBER(SEARCH("QA/DevOps",'Full Backlog'!$G$2:$G$1000)))*('Full Backlog'!$H$2:$H$1000="Open"))</f>
        <v/>
      </c>
    </row>
    <row r="21" ht="15" customHeight="1" s="47">
      <c r="B21" s="74" t="inlineStr">
        <is>
          <t>UX Designer</t>
        </is>
      </c>
      <c r="C21" s="66">
        <f>SUMPRODUCT((ISNUMBER(SEARCH("UX Designer",'Full Backlog'!$G$2:$G$1000)))*('Full Backlog'!$H$2:$H$1000="Open"))</f>
        <v/>
      </c>
    </row>
    <row r="22" ht="15" customHeight="1" s="47">
      <c r="B22" s="74" t="inlineStr">
        <is>
          <t>Betting Analyst</t>
        </is>
      </c>
      <c r="C22" s="66">
        <f>SUMPRODUCT((ISNUMBER(SEARCH("Betting Analyst",'Full Backlog'!$G$2:$G$1000)))*('Full Backlog'!$H$2:$H$1000="Open"))</f>
        <v/>
      </c>
    </row>
    <row r="23" ht="15" customHeight="1" s="47">
      <c r="B23" s="74" t="inlineStr">
        <is>
          <t>Product Manager</t>
        </is>
      </c>
      <c r="C23" s="66">
        <f>SUMPRODUCT((ISNUMBER(SEARCH("Product Manager",'Full Backlog'!$G$2:$G$1000)))*('Full Backlog'!$H$2:$H$1000="Open"))</f>
        <v/>
      </c>
    </row>
    <row r="25" ht="15" customHeight="1" s="47">
      <c r="B25" s="63" t="inlineStr">
        <is>
          <t>Quick Links</t>
        </is>
      </c>
    </row>
    <row r="26" ht="15" customHeight="1" s="47">
      <c r="B26" s="76" t="inlineStr">
        <is>
          <t>Full Backlog</t>
        </is>
      </c>
      <c r="C26" s="62" t="inlineStr">
        <is>
          <t>Every ticket in the project</t>
        </is>
      </c>
    </row>
    <row r="27" ht="15" customHeight="1" s="47">
      <c r="B27" s="76" t="inlineStr">
        <is>
          <t>Current Sprint</t>
        </is>
      </c>
      <c r="C27" s="62" t="inlineStr">
        <is>
          <t>Sprint 2026-06-10 Phase 3 completion commit list</t>
        </is>
      </c>
    </row>
    <row r="28" ht="15" customHeight="1" s="47">
      <c r="B28" s="76" t="inlineStr">
        <is>
          <t>Phase 2 Completion</t>
        </is>
      </c>
      <c r="C28" s="62" t="inlineStr">
        <is>
          <t>Similarity engine suite + Phase 2 polish</t>
        </is>
      </c>
    </row>
    <row r="29" ht="15" customHeight="1" s="47">
      <c r="B29" s="76" t="inlineStr">
        <is>
          <t>Phase 3 Gate</t>
        </is>
      </c>
      <c r="C29" s="62" t="inlineStr">
        <is>
          <t>Play pool architecture dependencies</t>
        </is>
      </c>
    </row>
    <row r="30" ht="15" customHeight="1" s="47">
      <c r="B30" s="76" t="inlineStr">
        <is>
          <t>Phase 4 Gate</t>
        </is>
      </c>
      <c r="C30" s="62" t="inlineStr">
        <is>
          <t>Core simulation loop dependencies</t>
        </is>
      </c>
    </row>
    <row r="31" ht="15" customHeight="1" s="47">
      <c r="B31" s="76" t="inlineStr">
        <is>
          <t>Phase 5 Gate</t>
        </is>
      </c>
      <c r="C31" s="62" t="inlineStr">
        <is>
          <t>Backend API + simulation runner</t>
        </is>
      </c>
    </row>
    <row r="32" ht="15" customHeight="1" s="47">
      <c r="B32" s="76" t="inlineStr">
        <is>
          <t>Phase 6 Gate</t>
        </is>
      </c>
      <c r="C32" s="62" t="inlineStr">
        <is>
          <t>Frontend dependencies</t>
        </is>
      </c>
    </row>
    <row r="33" ht="15" customHeight="1" s="47">
      <c r="B33" s="76" t="inlineStr">
        <is>
          <t>Phase 6 Build</t>
        </is>
      </c>
      <c r="C33" s="62" t="inlineStr">
        <is>
          <t>Frontend implementation tickets</t>
        </is>
      </c>
    </row>
    <row r="34" ht="15" customHeight="1" s="47">
      <c r="B34" s="76" t="inlineStr">
        <is>
          <t>Phase 7 Gate</t>
        </is>
      </c>
      <c r="C34" s="62" t="inlineStr">
        <is>
          <t>Integration / testing / deployment</t>
        </is>
      </c>
    </row>
    <row r="36" ht="15" customHeight="1" s="47">
      <c r="B36" s="77" t="inlineStr">
        <is>
          <t>Sprint 2026-05-13 — Phase 2 Closure &amp; Engine Build-out (CLOSED 2026-05-14)</t>
        </is>
      </c>
    </row>
    <row r="37" ht="15" customHeight="1" s="47">
      <c r="B37" s="46" t="inlineStr">
        <is>
          <t>Disposition: ✅ all 7 tickets accepted by PM on 2026-05-14</t>
        </is>
      </c>
    </row>
    <row r="38" ht="15" customHeight="1" s="47">
      <c r="B38" s="46" t="inlineStr">
        <is>
          <t>• SIM-073 (DE)  · steal_attempt_rate_against column + DuckDB migration 0002</t>
        </is>
      </c>
    </row>
    <row r="39" ht="15" customHeight="1" s="47">
      <c r="B39" s="46" t="inlineStr">
        <is>
          <t>• SIM-072 (ML)  · CatcherSimilarityEngine v2 — 5-sub-score split</t>
        </is>
      </c>
    </row>
    <row r="40" ht="15" customHeight="1" s="47">
      <c r="B40" s="46" t="inlineStr">
        <is>
          <t>• SIM-157 (DE)  · odds_hash backfill + Alembic 0012 (full unique)</t>
        </is>
      </c>
    </row>
    <row r="41" ht="15" customHeight="1" s="47">
      <c r="B41" s="46" t="inlineStr">
        <is>
          <t>• SIM-158 (PE)  · EXPLAIN ANALYZE harness (live run → SIM-161)</t>
        </is>
      </c>
    </row>
    <row r="42" ht="15" customHeight="1" s="47">
      <c r="B42" s="46" t="inlineStr">
        <is>
          <t>• SIM-159 (BE)  · MockOddsAPI vig flake fix (test-side bounds)</t>
        </is>
      </c>
    </row>
    <row r="43" ht="15" customHeight="1" s="47">
      <c r="B43" s="46" t="inlineStr">
        <is>
          <t>• SIM-041 (ML)  · Pitch-to-Pitch FAISS engine (Step 2.10)</t>
        </is>
      </c>
    </row>
    <row r="44" ht="15" customHeight="1" s="47">
      <c r="B44" s="46" t="inlineStr">
        <is>
          <t>• SIM-042 (ML)  · Batted-Ball FAISS engine (Step 2.11)</t>
        </is>
      </c>
    </row>
    <row r="45" ht="15" customHeight="1" s="47">
      <c r="B45" s="78" t="inlineStr">
        <is>
          <t>All 11 similarity engines now built — Phase 2 milestone reached.</t>
        </is>
      </c>
    </row>
    <row r="47" ht="15" customHeight="1" s="47">
      <c r="B47" s="79" t="inlineStr">
        <is>
          <t>Next sprint: 2026-05-20 — Phase 2 hardening &amp; Phase 3 kickoff (see Current Sprint sheet)</t>
        </is>
      </c>
    </row>
  </sheetData>
  <mergeCells count="2">
    <mergeCell ref="B3:G3"/>
    <mergeCell ref="B2:G2"/>
  </mergeCells>
  <hyperlinks>
    <hyperlink xmlns:r="http://schemas.openxmlformats.org/officeDocument/2006/relationships" ref="B26" location="'Full%20Backlog'!A1" display="Full Backlog" r:id="rId1"/>
    <hyperlink xmlns:r="http://schemas.openxmlformats.org/officeDocument/2006/relationships" ref="B27" location="'Current%20Sprint'!A1" display="Current Sprint" r:id="rId2"/>
    <hyperlink xmlns:r="http://schemas.openxmlformats.org/officeDocument/2006/relationships" ref="B28" location="'Phase%202%20Completion'!A1" display="Phase 2 Completion" r:id="rId3"/>
    <hyperlink xmlns:r="http://schemas.openxmlformats.org/officeDocument/2006/relationships" ref="B29" location="'Phase%203%20Gate'!A1" display="Phase 3 Gate" r:id="rId4"/>
    <hyperlink xmlns:r="http://schemas.openxmlformats.org/officeDocument/2006/relationships" ref="B30" location="'Phase%204%20Gate'!A1" display="Phase 4 Gate" r:id="rId5"/>
    <hyperlink xmlns:r="http://schemas.openxmlformats.org/officeDocument/2006/relationships" ref="B31" location="'Phase%205%20Gate'!A1" display="Phase 5 Gate" r:id="rId6"/>
    <hyperlink xmlns:r="http://schemas.openxmlformats.org/officeDocument/2006/relationships" ref="B32" location="'Phase%206%20Gate'!A1" display="Phase 6 Gate" r:id="rId7"/>
    <hyperlink xmlns:r="http://schemas.openxmlformats.org/officeDocument/2006/relationships" ref="B33" location="'Phase%206%20Build'!A1" display="Phase 6 Build" r:id="rId8"/>
    <hyperlink xmlns:r="http://schemas.openxmlformats.org/officeDocument/2006/relationships" ref="B34" location="'Phase%207%20Gate'!A1" display="Phase 7 Gate" r:id="rId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1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1" customWidth="1" style="46" min="1" max="1"/>
    <col width="30" customWidth="1" style="46" min="2" max="2"/>
    <col width="14" customWidth="1" style="46" min="3" max="3"/>
    <col width="12" customWidth="1" style="46" min="4" max="4"/>
    <col width="9" customWidth="1" style="46" min="5" max="5"/>
    <col width="7" customWidth="1" style="46" min="6" max="6"/>
    <col width="22" customWidth="1" style="46" min="7" max="7"/>
    <col width="13" customWidth="1" style="46" min="8" max="8"/>
    <col width="9" customWidth="1" style="46" min="9" max="9"/>
    <col width="36" customWidth="1" style="46" min="10" max="10"/>
    <col width="42" customWidth="1" style="46" min="11" max="11"/>
    <col width="18" customWidth="1" style="46" min="12" max="12"/>
    <col width="22" customWidth="1" style="46" min="13" max="13"/>
  </cols>
  <sheetData>
    <row r="1" ht="27.75" customHeight="1" s="47">
      <c r="A1" s="80" t="inlineStr">
        <is>
          <t>Sprint 2026-06-10 — CLOSED 2026-05-21: Phase 3 Completion — all 6 play-pool tickets shipped &amp; accepted after independent QA (927 unit+regression passing / 1 skipped; 3 perf benches). Phase 3 (Play Pool Architecture) COMPLETE. See docs/SPRINT_2026-06-10_phase3_completion.md</t>
        </is>
      </c>
    </row>
    <row r="2" ht="36" customHeight="1" s="47">
      <c r="A2" s="81" t="inlineStr">
        <is>
          <t>Sprint goal: ship the first Phase 3 deliverables — play-pool nightly cache (SIM-301) + sampler API (SIM-302) — alongside the Tier-P0 perf and BA prereqs that gate Phase 4. Backtesting framework (SIM-220) and manager decision logic spec (SIM-201) likely span two sprints; start scoping in this one.</t>
        </is>
      </c>
    </row>
    <row r="4" ht="15" customHeight="1" s="47">
      <c r="A4" s="56" t="inlineStr">
        <is>
          <t>Ticket ID</t>
        </is>
      </c>
      <c r="B4" s="56" t="inlineStr">
        <is>
          <t>Title</t>
        </is>
      </c>
      <c r="C4" s="56" t="inlineStr">
        <is>
          <t>Category</t>
        </is>
      </c>
      <c r="D4" s="56" t="inlineStr">
        <is>
          <t>Type</t>
        </is>
      </c>
      <c r="E4" s="56" t="inlineStr">
        <is>
          <t>Priority</t>
        </is>
      </c>
      <c r="F4" s="56" t="inlineStr">
        <is>
          <t>Size</t>
        </is>
      </c>
      <c r="G4" s="56" t="inlineStr">
        <is>
          <t>Assignee Role</t>
        </is>
      </c>
      <c r="H4" s="56" t="inlineStr">
        <is>
          <t>Status</t>
        </is>
      </c>
      <c r="I4" s="56" t="inlineStr">
        <is>
          <t>Blocked</t>
        </is>
      </c>
      <c r="J4" s="56" t="inlineStr">
        <is>
          <t>Description</t>
        </is>
      </c>
      <c r="K4" s="56" t="inlineStr">
        <is>
          <t>Acceptance Criteria</t>
        </is>
      </c>
      <c r="L4" s="56" t="inlineStr">
        <is>
          <t>Dependencies</t>
        </is>
      </c>
      <c r="M4" s="56" t="inlineStr">
        <is>
          <t>Notes</t>
        </is>
      </c>
    </row>
    <row r="5" ht="90" customHeight="1" s="47">
      <c r="A5" s="58" t="inlineStr">
        <is>
          <t>SIM-048</t>
        </is>
      </c>
      <c r="B5" s="54" t="inlineStr">
        <is>
          <t>SimilarityEngineRegistry — unified interface for all 11 engines</t>
        </is>
      </c>
      <c r="C5" s="54" t="inlineStr">
        <is>
          <t>Phase 3</t>
        </is>
      </c>
      <c r="D5" s="54" t="inlineStr">
        <is>
          <t>Feature</t>
        </is>
      </c>
      <c r="E5" s="59" t="inlineStr">
        <is>
          <t>P1</t>
        </is>
      </c>
      <c r="F5" s="59" t="inlineStr">
        <is>
          <t>M</t>
        </is>
      </c>
      <c r="G5" s="54" t="inlineStr">
        <is>
          <t>ML Engineer</t>
        </is>
      </c>
      <c r="H5" s="82" t="inlineStr">
        <is>
          <t>Closed</t>
        </is>
      </c>
      <c r="I5" s="54" t="inlineStr">
        <is>
          <t>No</t>
        </is>
      </c>
      <c r="J5" s="54" t="inlineStr">
        <is>
          <t>Registry mapping canonical names to engine classes + metadata (family, score_type).</t>
        </is>
      </c>
      <c r="K5" s="54" t="inlineStr">
        <is>
          <t>similarity/registry.py; lists 11; lazy guarded imports; tests.</t>
        </is>
      </c>
      <c r="L5" s="54" t="inlineStr">
        <is>
          <t>SIM-071</t>
        </is>
      </c>
      <c r="M5" s="54" t="inlineStr">
        <is>
          <t>Root of the Phase 3 remainder chain.</t>
        </is>
      </c>
    </row>
    <row r="6" ht="90" customHeight="1" s="47">
      <c r="A6" s="58" t="inlineStr">
        <is>
          <t>SIM-076</t>
        </is>
      </c>
      <c r="B6" s="54" t="inlineStr">
        <is>
          <t>recency_weight on sim pools + pool_build_metadata + walk-forward harness</t>
        </is>
      </c>
      <c r="C6" s="54" t="inlineStr">
        <is>
          <t>Phase 3</t>
        </is>
      </c>
      <c r="D6" s="54" t="inlineStr">
        <is>
          <t>Improvement</t>
        </is>
      </c>
      <c r="E6" s="59" t="inlineStr">
        <is>
          <t>P1</t>
        </is>
      </c>
      <c r="F6" s="59" t="inlineStr">
        <is>
          <t>L</t>
        </is>
      </c>
      <c r="G6" s="54" t="inlineStr">
        <is>
          <t>Data Engineer + ML Engineer</t>
        </is>
      </c>
      <c r="H6" s="82" t="inlineStr">
        <is>
          <t>Closed</t>
        </is>
      </c>
      <c r="I6" s="54" t="inlineStr">
        <is>
          <t>No</t>
        </is>
      </c>
      <c r="J6" s="54" t="inlineStr">
        <is>
          <t>2x last-2-seasons recency weight, decay older; metadata table; harness.</t>
        </is>
      </c>
      <c r="K6" s="54" t="inlineStr">
        <is>
          <t>Migration 0004; schema v5; computor populates; harness module; tests.</t>
        </is>
      </c>
      <c r="L6" s="54" t="inlineStr">
        <is>
          <t>SIM-048</t>
        </is>
      </c>
      <c r="M6" s="54" t="inlineStr">
        <is>
          <t>Recency boost materialized as a column.</t>
        </is>
      </c>
    </row>
    <row r="7" ht="90" customHeight="1" s="47">
      <c r="A7" s="58" t="inlineStr">
        <is>
          <t>SIM-095</t>
        </is>
      </c>
      <c r="B7" s="54" t="inlineStr">
        <is>
          <t>Incremental pitch_pool/outcome_pool rebuild</t>
        </is>
      </c>
      <c r="C7" s="54" t="inlineStr">
        <is>
          <t>Phase 3</t>
        </is>
      </c>
      <c r="D7" s="54" t="inlineStr">
        <is>
          <t>Improvement</t>
        </is>
      </c>
      <c r="E7" s="59" t="inlineStr">
        <is>
          <t>P2</t>
        </is>
      </c>
      <c r="F7" s="59" t="inlineStr">
        <is>
          <t>M</t>
        </is>
      </c>
      <c r="G7" s="54" t="inlineStr">
        <is>
          <t>Data Engineer</t>
        </is>
      </c>
      <c r="H7" s="82" t="inlineStr">
        <is>
          <t>Closed</t>
        </is>
      </c>
      <c r="I7" s="54" t="inlineStr">
        <is>
          <t>No</t>
        </is>
      </c>
      <c r="J7" s="54" t="inlineStr">
        <is>
          <t>Rebuild only seasons whose source changed; full rebuild fallback.</t>
        </is>
      </c>
      <c r="K7" s="54" t="inlineStr">
        <is>
          <t>_seasons_needing_rebuild; run() incremental=not full_rebuild; tests.</t>
        </is>
      </c>
      <c r="L7" s="54" t="inlineStr">
        <is>
          <t>SIM-076</t>
        </is>
      </c>
      <c r="M7" s="54" t="inlineStr">
        <is>
          <t>Replaces nightly full delete+reinsert.</t>
        </is>
      </c>
    </row>
    <row r="8" ht="90" customHeight="1" s="47">
      <c r="A8" s="58" t="inlineStr">
        <is>
          <t>SIM-111</t>
        </is>
      </c>
      <c r="B8" s="54" t="inlineStr">
        <is>
          <t>Play-pool query API column contracts</t>
        </is>
      </c>
      <c r="C8" s="54" t="inlineStr">
        <is>
          <t>Phase 3</t>
        </is>
      </c>
      <c r="D8" s="54" t="inlineStr">
        <is>
          <t>Gap</t>
        </is>
      </c>
      <c r="E8" s="59" t="inlineStr">
        <is>
          <t>P1</t>
        </is>
      </c>
      <c r="F8" s="59" t="inlineStr">
        <is>
          <t>S</t>
        </is>
      </c>
      <c r="G8" s="54" t="inlineStr">
        <is>
          <t>Backend Developer + Data Engineer</t>
        </is>
      </c>
      <c r="H8" s="82" t="inlineStr">
        <is>
          <t>Closed</t>
        </is>
      </c>
      <c r="I8" s="54" t="inlineStr">
        <is>
          <t>No</t>
        </is>
      </c>
      <c r="J8" s="54" t="inlineStr">
        <is>
          <t>Document the 3 pools' query columns, pre-filter keys, access patterns, recency_weight.</t>
        </is>
      </c>
      <c r="K8" s="54" t="inlineStr">
        <is>
          <t>docs/architecture/2026-05-21-play-pool-query-contracts.md.</t>
        </is>
      </c>
      <c r="L8" s="54" t="inlineStr">
        <is>
          <t>SIM-076</t>
        </is>
      </c>
      <c r="M8" s="54" t="inlineStr">
        <is>
          <t>Drove SIM-115 keep/drop decisions.</t>
        </is>
      </c>
    </row>
    <row r="9" ht="90" customHeight="1" s="47">
      <c r="A9" s="58" t="inlineStr">
        <is>
          <t>SIM-115</t>
        </is>
      </c>
      <c r="B9" s="54" t="inlineStr">
        <is>
          <t>Prune DuckDB sim pool indexes</t>
        </is>
      </c>
      <c r="C9" s="54" t="inlineStr">
        <is>
          <t>Phase 3</t>
        </is>
      </c>
      <c r="D9" s="54" t="inlineStr">
        <is>
          <t>Improvement</t>
        </is>
      </c>
      <c r="E9" s="59" t="inlineStr">
        <is>
          <t>P1</t>
        </is>
      </c>
      <c r="F9" s="59" t="inlineStr">
        <is>
          <t>S</t>
        </is>
      </c>
      <c r="G9" s="54" t="inlineStr">
        <is>
          <t>Data Engineer + Performance Engineer</t>
        </is>
      </c>
      <c r="H9" s="82" t="inlineStr">
        <is>
          <t>Closed</t>
        </is>
      </c>
      <c r="I9" s="54" t="inlineStr">
        <is>
          <t>No</t>
        </is>
      </c>
      <c r="J9" s="54" t="inlineStr">
        <is>
          <t>Keep query-path indexes; drop write-overhead ones (schema-qualified DROP).</t>
        </is>
      </c>
      <c r="K9" s="54" t="inlineStr">
        <is>
          <t>Migration 0005; schema updated; tests.</t>
        </is>
      </c>
      <c r="L9" s="54" t="inlineStr">
        <is>
          <t>SIM-111</t>
        </is>
      </c>
      <c r="M9" s="54" t="inlineStr">
        <is>
          <t>DROP INDEX must be sim.-qualified.</t>
        </is>
      </c>
    </row>
    <row r="10" ht="90" customHeight="1" s="47">
      <c r="A10" s="58" t="inlineStr">
        <is>
          <t>SIM-056</t>
        </is>
      </c>
      <c r="B10" s="54" t="inlineStr">
        <is>
          <t>Count-stratified foul-ball frequency weighting design</t>
        </is>
      </c>
      <c r="C10" s="54" t="inlineStr">
        <is>
          <t>Phase 3</t>
        </is>
      </c>
      <c r="D10" s="54" t="inlineStr">
        <is>
          <t>Design</t>
        </is>
      </c>
      <c r="E10" s="59" t="inlineStr">
        <is>
          <t>P2</t>
        </is>
      </c>
      <c r="F10" s="59" t="inlineStr">
        <is>
          <t>S</t>
        </is>
      </c>
      <c r="G10" s="54" t="inlineStr">
        <is>
          <t>Baseball Analyst</t>
        </is>
      </c>
      <c r="H10" s="82" t="inlineStr">
        <is>
          <t>Closed</t>
        </is>
      </c>
      <c r="I10" s="54" t="inlineStr">
        <is>
          <t>No</t>
        </is>
      </c>
      <c r="J10" s="54" t="inlineStr">
        <is>
          <t>Count -&gt; foul-frequency factor at outcome step; two-strike foul keeps PA alive.</t>
        </is>
      </c>
      <c r="K10" s="54" t="inlineStr">
        <is>
          <t>docs/architecture/2026-05-21-foul-ball-weighting.md + illustrative CSV.</t>
        </is>
      </c>
      <c r="L10" s="54" t="inlineStr">
        <is>
          <t>SIM-111</t>
        </is>
      </c>
      <c r="M10" s="54" t="inlineStr">
        <is>
          <t>Design doc; impl in Phase 4 loop.</t>
        </is>
      </c>
    </row>
    <row r="11" ht="15" customHeight="1" s="47"/>
  </sheetData>
  <mergeCells count="2">
    <mergeCell ref="A2:M2"/>
    <mergeCell ref="A1:M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N179"/>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71484375" defaultRowHeight="15" customHeight="0" zeroHeight="0" outlineLevelRow="0"/>
  <cols>
    <col width="11" customWidth="1" style="46" min="1" max="1"/>
    <col width="50" customWidth="1" style="46" min="2" max="2"/>
    <col width="18" customWidth="1" style="46" min="3" max="3"/>
    <col width="16" customWidth="1" style="46" min="4" max="4"/>
    <col width="10" customWidth="1" style="46" min="5" max="5"/>
    <col width="18" customWidth="1" style="46" min="6" max="6"/>
    <col width="32" customWidth="1" style="46" min="7" max="7"/>
    <col width="12" customWidth="1" style="46" min="8" max="8"/>
    <col width="9" customWidth="1" style="46" min="9" max="9"/>
    <col width="50" customWidth="1" style="46" min="10" max="11"/>
    <col width="30" customWidth="1" style="46" min="12" max="12"/>
    <col width="35" customWidth="1" style="46" min="13" max="13"/>
  </cols>
  <sheetData>
    <row r="1" ht="30" customHeight="1" s="47">
      <c r="A1" s="83" t="inlineStr">
        <is>
          <t>Ticket ID</t>
        </is>
      </c>
      <c r="B1" s="83" t="inlineStr">
        <is>
          <t>Title</t>
        </is>
      </c>
      <c r="C1" s="83" t="inlineStr">
        <is>
          <t>Category</t>
        </is>
      </c>
      <c r="D1" s="83" t="inlineStr">
        <is>
          <t>Type</t>
        </is>
      </c>
      <c r="E1" s="83" t="inlineStr">
        <is>
          <t>Priority</t>
        </is>
      </c>
      <c r="F1" s="83" t="inlineStr">
        <is>
          <t>Size</t>
        </is>
      </c>
      <c r="G1" s="83" t="inlineStr">
        <is>
          <t>Assignee Role</t>
        </is>
      </c>
      <c r="H1" s="83" t="inlineStr">
        <is>
          <t>Status</t>
        </is>
      </c>
      <c r="I1" s="83" t="inlineStr">
        <is>
          <t>Blocked</t>
        </is>
      </c>
      <c r="J1" s="83" t="inlineStr">
        <is>
          <t>Description/Problem Statement</t>
        </is>
      </c>
      <c r="K1" s="83" t="inlineStr">
        <is>
          <t>Acceptance Criteria</t>
        </is>
      </c>
      <c r="L1" s="83" t="inlineStr">
        <is>
          <t>Dependencies</t>
        </is>
      </c>
      <c r="M1" s="83" t="inlineStr">
        <is>
          <t>Notes/Rationale</t>
        </is>
      </c>
    </row>
    <row r="2" ht="147" customHeight="1" s="47">
      <c r="A2" s="84" t="inlineStr">
        <is>
          <t>SIM-041</t>
        </is>
      </c>
      <c r="B2" s="84" t="inlineStr">
        <is>
          <t>Build pitch-to-pitch similarity engine (2.10) — FAISS flat index</t>
        </is>
      </c>
      <c r="C2" s="84" t="inlineStr">
        <is>
          <t>Similarity Engines</t>
        </is>
      </c>
      <c r="D2" s="84" t="inlineStr">
        <is>
          <t>Feature</t>
        </is>
      </c>
      <c r="E2" s="85" t="inlineStr">
        <is>
          <t>P1</t>
        </is>
      </c>
      <c r="F2" s="84" t="inlineStr">
        <is>
          <t>L (1–2 weeks)</t>
        </is>
      </c>
      <c r="G2" s="84" t="inlineStr">
        <is>
          <t>ML Engineer</t>
        </is>
      </c>
      <c r="H2" s="86" t="inlineStr">
        <is>
          <t>Shipped 2026-05-14 (sprint 2026-05-13)</t>
        </is>
      </c>
      <c r="I2" s="84" t="inlineStr">
        <is>
          <t>No</t>
        </is>
      </c>
      <c r="J2" s="84" t="inlineStr">
        <is>
          <t>Pitch-to-pitch similarity engine using FAISS flat index. Matches a query pitch (velocity, IVB, HB, spin rate, spin axis, release position, extension, plate location) to the most similar pitches in the pool. Powers the pitch selection step of the simulation loop (Phase 4 Step 2).</t>
        </is>
      </c>
      <c r="K2" s="84" t="inlineStr">
        <is>
          <t>1. FAISS IVFFlat index with nlist=512, nprobe=64 (per SIM-114 spec — NOT flat index).
2. Mandatory pre-filter: filter pitch pool to same pitcher_id + batter_handedness before FAISS query (reduces search from 1M to ~3,000 rows).
3. Features: velo, ivb, hb, spin_rate, spin_axis, release_x, release_z, release_ext, plate_x, plate_z.
4. Returns top-k similar pitches with combined_weight (pitch_similarity × recency_weight).
5. Unit tests: identical pitches score 1.0; orthogonal pitch types score &lt; 0.3; score symmetry; all scores in [0,1].
6. Benchmark: single query on pre-filtered ~3,000 row pool &lt; 0.15ms.</t>
        </is>
      </c>
      <c r="L2" s="84" t="inlineStr">
        <is>
          <t>SIM-071 (package structure), SIM-114 (FAISS design spec)</t>
        </is>
      </c>
      <c r="M2" s="84" t="inlineStr">
        <is>
          <t>Build order: this engine first (enables Phase 3 play pool testing).</t>
        </is>
      </c>
    </row>
    <row r="3" ht="113.25" customHeight="1" s="47">
      <c r="A3" s="84" t="inlineStr">
        <is>
          <t>SIM-042</t>
        </is>
      </c>
      <c r="B3" s="84" t="inlineStr">
        <is>
          <t>Build batted ball-to-batted ball similarity engine (2.11) — FAISS IVFFlat</t>
        </is>
      </c>
      <c r="C3" s="84" t="inlineStr">
        <is>
          <t>Similarity Engines</t>
        </is>
      </c>
      <c r="D3" s="84" t="inlineStr">
        <is>
          <t>Feature</t>
        </is>
      </c>
      <c r="E3" s="85" t="inlineStr">
        <is>
          <t>P1</t>
        </is>
      </c>
      <c r="F3" s="84" t="inlineStr">
        <is>
          <t>L (1–2 weeks)</t>
        </is>
      </c>
      <c r="G3" s="84" t="inlineStr">
        <is>
          <t>ML Engineer</t>
        </is>
      </c>
      <c r="H3" s="86" t="inlineStr">
        <is>
          <t>Shipped 2026-05-14 (sprint 2026-05-13)</t>
        </is>
      </c>
      <c r="I3" s="84" t="inlineStr">
        <is>
          <t>No</t>
        </is>
      </c>
      <c r="J3" s="84" t="inlineStr">
        <is>
          <t>Batted ball similarity engine using FAISS IVFFlat index. Matches a query batted ball (exit velo, launch angle, pull_relative_spray_angle, bb_type) to similar historical batted balls for fielding resolution in the simulation loop.</t>
        </is>
      </c>
      <c r="K3" s="84" t="inlineStr">
        <is>
          <t>1. FAISS IVFFlat index, same configuration as SIM-041.
2. Index on pull_relative_spray_angle (not raw spray_angle) — uses pre-computed column from sim.outcome_pool (SIM-051 prerequisite).
3. Features: exit_velo, launch_angle, pull_relative_spray_angle, bb_type (encoded).
4. Unit tests: same-direction HR vs opposite-field flyout score &lt; 0.3; identical batted balls score 1.0; LHB pull and RHB pull with same exit velo/launch angle score &gt;= 0.90.
5. Benchmark: single query &lt; 0.15ms on pre-filtered pool.</t>
        </is>
      </c>
      <c r="L3" s="84" t="inlineStr">
        <is>
          <t>SIM-051 (pull_relative_spray_angle column must exist), SIM-041 (FAISS pattern)</t>
        </is>
      </c>
      <c r="M3" s="84" t="inlineStr">
        <is>
          <t>Required for fielding resolution in Phase 4 Step 4.</t>
        </is>
      </c>
    </row>
    <row r="4" ht="191.25" customHeight="1" s="47">
      <c r="A4" s="84" t="inlineStr">
        <is>
          <t>SIM-043</t>
        </is>
      </c>
      <c r="B4" s="84" t="inlineStr">
        <is>
          <t>Build catcher similarity engine (2.6) — requires schema columns, speed-adjusted CS rate</t>
        </is>
      </c>
      <c r="C4" s="84" t="inlineStr">
        <is>
          <t>Similarity Engines</t>
        </is>
      </c>
      <c r="D4" s="84" t="inlineStr">
        <is>
          <t>Feature</t>
        </is>
      </c>
      <c r="E4" s="85" t="inlineStr">
        <is>
          <t>P1</t>
        </is>
      </c>
      <c r="F4" s="84" t="inlineStr">
        <is>
          <t>L (1–2 weeks)</t>
        </is>
      </c>
      <c r="G4" s="84" t="inlineStr">
        <is>
          <t>Data Engineer + ML Engineer</t>
        </is>
      </c>
      <c r="H4" s="87" t="inlineStr">
        <is>
          <t>Open</t>
        </is>
      </c>
      <c r="I4" s="84" t="inlineStr">
        <is>
          <t>No</t>
        </is>
      </c>
      <c r="J4" s="84" t="inlineStr">
        <is>
          <t>Catcher engine and the data layer work it requires. The current derived.catcher_season_metrics schema is missing all throwing-by-base columns. The speed-adjusted CS rate (required as the primary throwing feature) must be computed in the profile computor, not the engine. Three components: schema extension, computor implementation, and engine build.</t>
        </is>
      </c>
      <c r="K4" s="84" t="inlineStr">
        <is>
          <t>1. DE: Add to derived.catcher_season_metrics: cs_attempts_2b/3b/home, cs_caught_2b/3b/home, cs_rate_2b/3b/home, speed_adjusted_cs_rate_2b/3b/home, pop_time_proxy, arm_strength_proxy.
2. DE: In _compute_catcher_throwing(): LEFT JOIN pg.raw.sprint_speed on runner_id for each SB attempt; compute expected_cs_rate from sprint speed distribution; store speed_adjusted_cs_rate = actual_cs_rate - expected_cs_rate.
3. MLE: Build catcher_similarity.py using speed_adjusted_cs_rate as primary throwing feature (not raw cs_rate), RBF kernel, EB shrinkage.
4. Integration: requires SIM-077 (sprint speed join) to be complete first.
5. Tests: catchers with elite pop times score highly with each other; catchers with poor blocking rates score &lt; 0.3 with elite blockers.</t>
        </is>
      </c>
      <c r="L4" s="84" t="inlineStr">
        <is>
          <t>SIM-071, SIM-077 (sprint speed join in profile computor), SIM-084</t>
        </is>
      </c>
      <c r="M4" s="84" t="inlineStr">
        <is>
          <t>Catcher throwing features feed into steal determination — Phase 4 Step 1.</t>
        </is>
      </c>
    </row>
    <row r="5" ht="147" customHeight="1" s="47">
      <c r="A5" s="84" t="inlineStr">
        <is>
          <t>SIM-044</t>
        </is>
      </c>
      <c r="B5" s="84" t="inlineStr">
        <is>
          <t>Build baserunner steal similarity engine (2.5)</t>
        </is>
      </c>
      <c r="C5" s="84" t="inlineStr">
        <is>
          <t>Similarity Engines</t>
        </is>
      </c>
      <c r="D5" s="84" t="inlineStr">
        <is>
          <t>Feature</t>
        </is>
      </c>
      <c r="E5" s="85" t="inlineStr">
        <is>
          <t>P1</t>
        </is>
      </c>
      <c r="F5" s="84" t="inlineStr">
        <is>
          <t>M (3–5 days)</t>
        </is>
      </c>
      <c r="G5" s="84" t="inlineStr">
        <is>
          <t>ML Engineer</t>
        </is>
      </c>
      <c r="H5" s="87" t="inlineStr">
        <is>
          <t>Open</t>
        </is>
      </c>
      <c r="I5" s="84" t="inlineStr">
        <is>
          <t>No</t>
        </is>
      </c>
      <c r="J5" s="84" t="inlineStr">
        <is>
          <t>Separate from the extra-base advancement engine (already built), this engine scores baserunner-to-baserunner similarity specifically for stolen base decisions: sprint speed, historical SB attempt rate, success rate, and pickoff evasion. Powers Phase 4 Step 1 (steal determination).</t>
        </is>
      </c>
      <c r="K5" s="84" t="inlineStr">
        <is>
          <t>1. RBF kernel, EB shrinkage, reliability weights matching other engine patterns.
2. Features: sprint_speed, sb_attempt_rate, sb_success_rate, cs_rate.
3. Sprint speed sourced from raw.sprint_speed (measured) with proxy fallback.
4. Profiles with below_minimum_sample MUST load (apply EB shrinkage, do not exclude).
5. Unit tests: fast runners with high success rate score highly together; slow runners with low attempt rate score &lt; 0.3 with fast runners.
6. query() returns results for a rookie with only 3 SB attempts (EB shrinkage).</t>
        </is>
      </c>
      <c r="L5" s="84" t="inlineStr">
        <is>
          <t>SIM-071, SIM-070 (below_minimum_sample fix), SIM-077 (sprint speed)</t>
        </is>
      </c>
      <c r="M5" s="84" t="inlineStr">
        <is>
          <t>Distinct from baserunner extra-base engine — steal-specific features and use case.</t>
        </is>
      </c>
    </row>
    <row r="6" ht="102" customHeight="1" s="47">
      <c r="A6" s="84" t="inlineStr">
        <is>
          <t>SIM-045</t>
        </is>
      </c>
      <c r="B6" s="84" t="inlineStr">
        <is>
          <t>Build pitcher-allowing-steals similarity engine (2.7)</t>
        </is>
      </c>
      <c r="C6" s="84" t="inlineStr">
        <is>
          <t>Similarity Engines</t>
        </is>
      </c>
      <c r="D6" s="84" t="inlineStr">
        <is>
          <t>Feature</t>
        </is>
      </c>
      <c r="E6" s="85" t="inlineStr">
        <is>
          <t>P1</t>
        </is>
      </c>
      <c r="F6" s="84" t="inlineStr">
        <is>
          <t>M (3–5 days)</t>
        </is>
      </c>
      <c r="G6" s="84" t="inlineStr">
        <is>
          <t>ML Engineer</t>
        </is>
      </c>
      <c r="H6" s="87" t="inlineStr">
        <is>
          <t>Open</t>
        </is>
      </c>
      <c r="I6" s="84" t="inlineStr">
        <is>
          <t>No</t>
        </is>
      </c>
      <c r="J6" s="84" t="inlineStr">
        <is>
          <t>Pitcher-to-pitcher similarity specifically for stolen base context: how similar is this pitcher's delivery to others in terms of allowing baserunners to run? Features: stretch timing, slide step usage, pickoff attempt rate, pickoff success rate, historical SB attempts allowed per runner opportunity.</t>
        </is>
      </c>
      <c r="K6" s="84" t="inlineStr">
        <is>
          <t>1. Features as per SIM-059 revised spec: stretch_time, slide_step_rate, pickoff_attempt_rate, pickoff_success_rate, sb_attempts_allowed_per_opp.
2. RBF kernel with EB shrinkage. Minimum sample threshold: 50 runner opportunities.
3. Separate handedness partitions (LHP/RHP have different pickoff mechanics).
4. Unit tests: pitchers known for quick deliveries score highly together; deliberate delivery pitchers cluster separately.</t>
        </is>
      </c>
      <c r="L6" s="84" t="inlineStr">
        <is>
          <t>SIM-071, SIM-059 (revised feature set spec)</t>
        </is>
      </c>
      <c r="M6" s="84" t="inlineStr">
        <is>
          <t>Feed into Phase 4 Step 1 steal attempt probability.</t>
        </is>
      </c>
    </row>
    <row r="7" ht="124.5" customHeight="1" s="47">
      <c r="A7" s="84" t="inlineStr">
        <is>
          <t>SIM-046</t>
        </is>
      </c>
      <c r="B7" s="84" t="inlineStr">
        <is>
          <t>Build manager similarity engine (2.8)</t>
        </is>
      </c>
      <c r="C7" s="84" t="inlineStr">
        <is>
          <t>Similarity Engines</t>
        </is>
      </c>
      <c r="D7" s="84" t="inlineStr">
        <is>
          <t>Feature</t>
        </is>
      </c>
      <c r="E7" s="85" t="inlineStr">
        <is>
          <t>P1</t>
        </is>
      </c>
      <c r="F7" s="84" t="inlineStr">
        <is>
          <t>M (3–5 days)</t>
        </is>
      </c>
      <c r="G7" s="84" t="inlineStr">
        <is>
          <t>ML Engineer + Data Engineer</t>
        </is>
      </c>
      <c r="H7" s="87" t="inlineStr">
        <is>
          <t>Open</t>
        </is>
      </c>
      <c r="I7" s="84" t="inlineStr">
        <is>
          <t>No</t>
        </is>
      </c>
      <c r="J7" s="84" t="inlineStr">
        <is>
          <t>Manager-to-manager similarity for substitution decision patterns. Requires SIM-057 manager schema additions (opener_rate, extreme_shift_rate, IBB rate) to be implemented in the profile computor first. The engine then scores managers on their tendencies for: bullpen usage, pinch hitting, position player usage in leverage situations.</t>
        </is>
      </c>
      <c r="K7" s="84" t="inlineStr">
        <is>
          <t>1. Depends on SIM-057: opener_rate, extreme_shift_rate, intentional_walk_rate columns populated (not NULL) in derived.manager_season_metrics.
2. Features: quick_hook_rate, opener_rate, extreme_shift_rate, intentional_walk_rate, sp_pitch_count_mean, bullpen_leverage_mapping.
3. RBF kernel, EB shrinkage (EB_N_PRIOR appropriate for manager-level stats which stabilize in ~1 full season).
4. Unit tests: aggressive bullpen managers (low quick_hook) cluster together; old-school managers cluster separately from analytics-driven ones.</t>
        </is>
      </c>
      <c r="L7" s="84" t="inlineStr">
        <is>
          <t>SIM-071, SIM-057 (manager schema additions)</t>
        </is>
      </c>
      <c r="M7" s="84" t="inlineStr">
        <is>
          <t>Manager engine powers Phase 4 Step 7 (manager decision logic).</t>
        </is>
      </c>
    </row>
    <row r="8" ht="135.75" customHeight="1" s="47">
      <c r="A8" s="84" t="inlineStr">
        <is>
          <t>SIM-047</t>
        </is>
      </c>
      <c r="B8" s="84" t="inlineStr">
        <is>
          <t>Build situation-to-situation similarity engine (2.9) — KDTree</t>
        </is>
      </c>
      <c r="C8" s="84" t="inlineStr">
        <is>
          <t>Similarity Engines</t>
        </is>
      </c>
      <c r="D8" s="84" t="inlineStr">
        <is>
          <t>Feature</t>
        </is>
      </c>
      <c r="E8" s="85" t="inlineStr">
        <is>
          <t>P1</t>
        </is>
      </c>
      <c r="F8" s="84" t="inlineStr">
        <is>
          <t>M (3–5 days)</t>
        </is>
      </c>
      <c r="G8" s="84" t="inlineStr">
        <is>
          <t>ML Engineer</t>
        </is>
      </c>
      <c r="H8" s="87" t="inlineStr">
        <is>
          <t>Open</t>
        </is>
      </c>
      <c r="I8" s="84" t="inlineStr">
        <is>
          <t>No</t>
        </is>
      </c>
      <c r="J8" s="84" t="inlineStr">
        <is>
          <t>Situation similarity engine using KDTree (small feature space, no FAISS needed). Features: count (balls, strikes), outs, runners_state (bitmask 0-7), score_diff (capped ±5), inning, leverage_index. Returns similar historical situations as a cross-cutting weight modifier applied to other engines' scores.</t>
        </is>
      </c>
      <c r="K8" s="84" t="inlineStr">
        <is>
          <t>1. scikit-learn BallTree or KDTree. Euclidean metric on normalized features.
2. Features: balls, strikes, outs, runners_state (bitmask normalized 0-1), score_diff (capped ±5, normalized), inning (normalized 1-9+), leverage_index.
3. Z-score normalization with EB shrinkage toward mean situation.
4. Unit tests: tie game 9th inning bases loaded 2 outs scores highly with similar high-leverage situations; 1st inning 0-0 scores poorly against 9th inning scenarios.
5. Requires SIM-085 (situation composite index) for efficient DB queries.</t>
        </is>
      </c>
      <c r="L8" s="84" t="inlineStr">
        <is>
          <t>SIM-071, SIM-085 (situation index), SIM-058 (LI lookup table for features)</t>
        </is>
      </c>
      <c r="M8" s="84" t="inlineStr">
        <is>
          <t>Cross-cutting weight modifier — used to adjust all other engine weights by game situation.</t>
        </is>
      </c>
    </row>
    <row r="9" ht="147" customHeight="1" s="47">
      <c r="A9" s="84" t="inlineStr">
        <is>
          <t>SIM-048</t>
        </is>
      </c>
      <c r="B9" s="84" t="inlineStr">
        <is>
          <t>Build SimilarityEngineRegistry — unified interface for all 11 engines</t>
        </is>
      </c>
      <c r="C9" s="84" t="inlineStr">
        <is>
          <t>Similarity Engines</t>
        </is>
      </c>
      <c r="D9" s="84" t="inlineStr">
        <is>
          <t>Feature</t>
        </is>
      </c>
      <c r="E9" s="85" t="inlineStr">
        <is>
          <t>P1</t>
        </is>
      </c>
      <c r="F9" s="84" t="inlineStr">
        <is>
          <t>M (3–5 days)</t>
        </is>
      </c>
      <c r="G9" s="84" t="inlineStr">
        <is>
          <t>ML Engineer + Backend Developer</t>
        </is>
      </c>
      <c r="H9" s="87" t="inlineStr">
        <is>
          <t>Closed</t>
        </is>
      </c>
      <c r="I9" s="84" t="inlineStr">
        <is>
          <t>No</t>
        </is>
      </c>
      <c r="J9" s="84" t="inlineStr">
        <is>
          <t>The SimilarityEngineRegistry provides a single interface for the simulation loop to query any of the 11 engines. It handles: engine initialization and build() orchestration, the SimilarityEngine Protocol from base.py, engine selection by type, and results caching. Required before Phase 3 can begin.</t>
        </is>
      </c>
      <c r="K9" s="84" t="inlineStr">
        <is>
          <t>1. registry.py in similarity/: SimilarityEngineRegistry class with methods get_pitcher_engine(), get_batter_engine(), get_fielder_engine(), etc.
2. All engines import from similarity.base (SIM-071 prerequisite).
3. Registry build(): orchestrates all 11 engine build() calls in dependency order.
4. Registry supports SIM-081 (save/load): registry.save_all(dir), registry.load_all(dir) convenience methods.
5. Unit tests: registry.get_pitcher_engine() returns a PitcherSimilarityEngine instance; querying a non-existent engine raises ValueError with clear message.</t>
        </is>
      </c>
      <c r="L9" s="84" t="inlineStr">
        <is>
          <t>SIM-071 (package structure + base.py), all 11 engines complete</t>
        </is>
      </c>
      <c r="M9" s="84" t="inlineStr">
        <is>
          <t>Phase 2 completion gate — registry is the final deliverable.</t>
        </is>
      </c>
    </row>
    <row r="10" ht="90.75" customHeight="1" s="47">
      <c r="A10" s="84" t="inlineStr">
        <is>
          <t>SIM-050</t>
        </is>
      </c>
      <c r="B10" s="84" t="inlineStr">
        <is>
          <t>Merge fielder diagnostics into similarity_diagnostics.py — fix silent CI failure</t>
        </is>
      </c>
      <c r="C10" s="84" t="inlineStr">
        <is>
          <t>Similarity Engines</t>
        </is>
      </c>
      <c r="D10" s="84" t="inlineStr">
        <is>
          <t>Bug</t>
        </is>
      </c>
      <c r="E10" s="85" t="inlineStr">
        <is>
          <t>P1</t>
        </is>
      </c>
      <c r="F10" s="84" t="inlineStr">
        <is>
          <t>S (&lt; 1 day)</t>
        </is>
      </c>
      <c r="G10" s="84" t="inlineStr">
        <is>
          <t>ML Engineer</t>
        </is>
      </c>
      <c r="H10" s="87" t="inlineStr">
        <is>
          <t>Open</t>
        </is>
      </c>
      <c r="I10" s="84" t="inlineStr">
        <is>
          <t>No</t>
        </is>
      </c>
      <c r="J10" s="84" t="inlineStr">
        <is>
          <t>Fielder diagnostics live in fielder_diagnostics_ext.py and are not called from the shared CLI. Running 'python similarity_diagnostics.py' produces exit code 0 even with a broken fielder engine. total_flags is computed without fielder flags, silently passing any CI check that calls this script.</t>
        </is>
      </c>
      <c r="K10" s="84" t="inlineStr">
        <is>
          <t>1. Merge fielder_diagnostics_ext.py content into similarity_diagnostics.py.
2. Wire fielder_report.n_flags into total_flags in the CLI main block.
3. Verify: 'python similarity_diagnostics.py' returns exit code 1 when the fielder engine has flags.
4. Prerequisite for SIM-154 (model regression CI gate) to cover all engines.</t>
        </is>
      </c>
      <c r="L10" s="84" t="inlineStr">
        <is>
          <t>None</t>
        </is>
      </c>
      <c r="M10" s="84" t="inlineStr">
        <is>
          <t>CI regression gate (SIM-154) is incomplete until this is fixed.</t>
        </is>
      </c>
    </row>
    <row r="11" ht="135.75" customHeight="1" s="47">
      <c r="A11" s="84" t="inlineStr">
        <is>
          <t>SIM-051</t>
        </is>
      </c>
      <c r="B11" s="84" t="inlineStr">
        <is>
          <t>Pre-compute pull_relative_spray_angle in sim.outcome_pool at ETL time</t>
        </is>
      </c>
      <c r="C11" s="84" t="inlineStr">
        <is>
          <t>Schema / ETL</t>
        </is>
      </c>
      <c r="D11" s="84" t="inlineStr">
        <is>
          <t>Improvement</t>
        </is>
      </c>
      <c r="E11" s="85" t="inlineStr">
        <is>
          <t>P1</t>
        </is>
      </c>
      <c r="F11" s="84" t="inlineStr">
        <is>
          <t>S (1–2 days)</t>
        </is>
      </c>
      <c r="G11" s="84" t="inlineStr">
        <is>
          <t>Data Engineer</t>
        </is>
      </c>
      <c r="H11" s="87" t="inlineStr">
        <is>
          <t>Closed</t>
        </is>
      </c>
      <c r="I11" s="84" t="inlineStr">
        <is>
          <t>No</t>
        </is>
      </c>
      <c r="J11" s="84" t="inlineStr">
        <is>
          <t>Raw spray_angle is directionally biased by batter handedness. LHB pull doubles and RHB pull doubles are physically similar but have opposite spray angle signs. The FAISS batted ball engine must index on pull-relative spray angle. This must be pre-computed at ETL time, not transformed at query time for every lookup.</t>
        </is>
      </c>
      <c r="K11" s="84" t="inlineStr">
        <is>
          <t>1. Add pull_relative_spray_angle FLOAT column to sim.outcome_pool (DuckDB migration).
2. Populate in _build_outcome_pool(): CASE WHEN stand='R' THEN spray_angle WHEN stand='L' THEN -spray_angle ELSE CASE WHEN bat_hand='R' THEN spray_angle ELSE -spray_angle END END.
3. Use bat_hand column for switch hitters (records actual handedness on that pitch).
4. Unit test: LHB pull double and RHB pull double with identical exit_velo/launch_angle should have pull_relative_spray_angle values within 5 degrees of each other.</t>
        </is>
      </c>
      <c r="L11" s="84" t="inlineStr">
        <is>
          <t>SIM-084 (DuckDB migration pattern via Alembic/DuckDB versioning)</t>
        </is>
      </c>
      <c r="M11" s="84" t="inlineStr">
        <is>
          <t>Blocks SIM-042. Must land before the batted ball FAISS index is built.</t>
        </is>
      </c>
    </row>
    <row r="12" ht="135.75" customHeight="1" s="47">
      <c r="A12" s="84" t="inlineStr">
        <is>
          <t>SIM-052</t>
        </is>
      </c>
      <c r="B12" s="84" t="inlineStr">
        <is>
          <t>Add pitch-archetype pre-filter to pitcher similarity engine</t>
        </is>
      </c>
      <c r="C12" s="84" t="inlineStr">
        <is>
          <t>Similarity Engines</t>
        </is>
      </c>
      <c r="D12" s="84" t="inlineStr">
        <is>
          <t>Improvement</t>
        </is>
      </c>
      <c r="E12" s="88" t="inlineStr">
        <is>
          <t>P2</t>
        </is>
      </c>
      <c r="F12" s="84" t="inlineStr">
        <is>
          <t>S (1–2 days)</t>
        </is>
      </c>
      <c r="G12" s="84" t="inlineStr">
        <is>
          <t>ML Engineer + Baseball Analyst</t>
        </is>
      </c>
      <c r="H12" s="87" t="inlineStr">
        <is>
          <t>Open</t>
        </is>
      </c>
      <c r="I12" s="84" t="inlineStr">
        <is>
          <t>No</t>
        </is>
      </c>
      <c r="J12" s="84" t="inlineStr">
        <is>
          <t>Pitch-to-pitch similarity queries should be optionally pre-filtered to the same pitch archetype (e.g., don't compare a sweeper to a sinker) before FAISS search. This reduces noise in the pitch selection pool for pitchers with very distinct pitch types and improves the relevance of top-k results.</t>
        </is>
      </c>
      <c r="K12" s="84" t="inlineStr">
        <is>
          <t>1. Add optional pitch_archetype_filter parameter to pitch-to-pitch engine query().
2. Archetype derived from GMM component labels (display_label from profile computor).
3. When filter is applied, only search within the pre-filtered subset.
4. When filter is None, full pool search (backward compatible).
5. Baseball Analyst validates that archetype groupings make baseball sense.
6. Unit test: querying a 4-seam fastball with archetype filter returns only fastball-type results.</t>
        </is>
      </c>
      <c r="L12" s="84" t="inlineStr">
        <is>
          <t>SIM-041 (pitch-to-pitch engine must exist first)</t>
        </is>
      </c>
      <c r="M12" s="84" t="inlineStr">
        <is>
          <t>Improvement to pitch selection quality — optional filter, not required for correctness.</t>
        </is>
      </c>
    </row>
    <row r="13" ht="113.25" customHeight="1" s="47">
      <c r="A13" s="84" t="inlineStr">
        <is>
          <t>SIM-053</t>
        </is>
      </c>
      <c r="B13" s="84" t="inlineStr">
        <is>
          <t>Add two-strike count-stratified features to batter engine</t>
        </is>
      </c>
      <c r="C13" s="84" t="inlineStr">
        <is>
          <t>Similarity Engines</t>
        </is>
      </c>
      <c r="D13" s="84" t="inlineStr">
        <is>
          <t>Improvement</t>
        </is>
      </c>
      <c r="E13" s="88" t="inlineStr">
        <is>
          <t>P2</t>
        </is>
      </c>
      <c r="F13" s="84" t="inlineStr">
        <is>
          <t>M (3–5 days)</t>
        </is>
      </c>
      <c r="G13" s="84" t="inlineStr">
        <is>
          <t>ML Engineer + Data Engineer</t>
        </is>
      </c>
      <c r="H13" s="87" t="inlineStr">
        <is>
          <t>Open</t>
        </is>
      </c>
      <c r="I13" s="84" t="inlineStr">
        <is>
          <t>No</t>
        </is>
      </c>
      <c r="J13" s="84" t="inlineStr">
        <is>
          <t>Batter behavior changes substantially with two strikes. The current batter engine uses aggregate discipline features that blend 0-strike and 2-strike at-bats. Two-strike chase rate, contact rate, and zone rate are meaningfully different from overall rates and are important for strikeout prop calibration.</t>
        </is>
      </c>
      <c r="K13" s="84" t="inlineStr">
        <is>
          <t>1. Add to derived.batter_season_metrics: o_swing_rate_2k, z_swing_rate_2k, whiff_rate_2k, contact_rate_2k (all limited to pitches with strikes=2).
2. Add to BatterSimilarityEngine feature set with separate reliability weights (2-strike stats stabilize faster — smaller sample needed).
3. Calibrate sigma for two-strike features separately from overall discipline.
4. Unit test: batters known for good two-strike approach (low 2K whiff) cluster together; free-swingers cluster separately.</t>
        </is>
      </c>
      <c r="L13" s="84" t="inlineStr">
        <is>
          <t>SIM-069 (platoon calibration fix should land first)</t>
        </is>
      </c>
      <c r="M13" s="84" t="inlineStr">
        <is>
          <t>Important for strikeout prop accuracy — the primary prop market.</t>
        </is>
      </c>
    </row>
    <row r="14" ht="102" customHeight="1" s="47">
      <c r="A14" s="84" t="inlineStr">
        <is>
          <t>SIM-054</t>
        </is>
      </c>
      <c r="B14" s="84" t="inlineStr">
        <is>
          <t>Replace xBA/xSLG with wOBAcon/ISO in batter power sub-score</t>
        </is>
      </c>
      <c r="C14" s="84" t="inlineStr">
        <is>
          <t>Similarity Engines</t>
        </is>
      </c>
      <c r="D14" s="84" t="inlineStr">
        <is>
          <t>Improvement</t>
        </is>
      </c>
      <c r="E14" s="88" t="inlineStr">
        <is>
          <t>P2</t>
        </is>
      </c>
      <c r="F14" s="84" t="inlineStr">
        <is>
          <t>S (1–2 days)</t>
        </is>
      </c>
      <c r="G14" s="84" t="inlineStr">
        <is>
          <t>ML Engineer + Data Engineer</t>
        </is>
      </c>
      <c r="H14" s="87" t="inlineStr">
        <is>
          <t>Open</t>
        </is>
      </c>
      <c r="I14" s="84" t="inlineStr">
        <is>
          <t>No</t>
        </is>
      </c>
      <c r="J14" s="84" t="inlineStr">
        <is>
          <t>The current batter power sub-score uses xBA and xSLG as primary features. These are predictive but compositionally similar to each other. wOBAcon (wOBA on contact — quality of contact per ball in play) and ISO (isolated power = SLG - AVG, measuring extra-base hit rate) are more independent dimensions and better capture different aspects of power.</t>
        </is>
      </c>
      <c r="K14" s="84" t="inlineStr">
        <is>
          <t>1. Add wOBAcon and ISO to derived.batter_season_metrics computation.
2. Replace xBA and xSLG in POWER_FEATURES with wOBAcon and ISO.
3. Calibrate reliability weights for new features.
4. Baseball Analyst confirms the feature swap makes domain sense.
5. Regression test: top-5 power comps for known power hitters remain intuitive after the change.</t>
        </is>
      </c>
      <c r="L14" s="84" t="inlineStr">
        <is>
          <t>Baseball Analyst sign-off</t>
        </is>
      </c>
      <c r="M14" s="84" t="inlineStr">
        <is>
          <t>Minor feature improvement — lower priority than core bugs but should land in Phase 2.</t>
        </is>
      </c>
    </row>
    <row r="15" ht="124.5" customHeight="1" s="47">
      <c r="A15" s="84" t="inlineStr">
        <is>
          <t>SIM-055</t>
        </is>
      </c>
      <c r="B15" s="84" t="inlineStr">
        <is>
          <t>Design directional HR model with spray-angle park factor splits</t>
        </is>
      </c>
      <c r="C15" s="84" t="inlineStr">
        <is>
          <t>Simulation Loop</t>
        </is>
      </c>
      <c r="D15" s="84" t="inlineStr">
        <is>
          <t>Feature</t>
        </is>
      </c>
      <c r="E15" s="85" t="inlineStr">
        <is>
          <t>P1</t>
        </is>
      </c>
      <c r="F15" s="84" t="inlineStr">
        <is>
          <t>M (3–5 days)</t>
        </is>
      </c>
      <c r="G15" s="84" t="inlineStr">
        <is>
          <t>Data Engineer + Baseball Analyst</t>
        </is>
      </c>
      <c r="H15" s="87" t="inlineStr">
        <is>
          <t>Open</t>
        </is>
      </c>
      <c r="I15" s="84" t="inlineStr">
        <is>
          <t>No</t>
        </is>
      </c>
      <c r="J15" s="84" t="inlineStr">
        <is>
          <t>The HR model needs direction-aware fence distances (pull/center/oppo) per venue. Current park_factors stores only scalar multipliers with no directional component. SIM-094 adds the schema columns; this ticket implements the directional HR determination logic in the simulation loop Step 4.</t>
        </is>
      </c>
      <c r="K15" s="84" t="inlineStr">
        <is>
          <t>1. Requires SIM-094 (directional HR distance columns in park_factors) to be complete.
2. Implement directional HR determination in step_fielding.py (Step 4): given exit_velo, launch_angle, pull_relative_spray_angle, and park factor fence distances for that direction, determine if the ball clears the fence.
3. BA to confirm spray-angle bucket boundaries: pull &lt; -15°, center -15° to 15°, oppo &gt; 15° for RHB (mirrored for LHB).
4. Unit tests: known HR trajectories (e.g. 110 mph, 28°, dead pull) produce HR at correct rate given Yankee Stadium dimensions vs. Petco Park dimensions.</t>
        </is>
      </c>
      <c r="L15" s="84" t="inlineStr">
        <is>
          <t>SIM-094 (park_factors schema), SIM-063 (park_factors effective_date)</t>
        </is>
      </c>
      <c r="M15" s="84" t="inlineStr">
        <is>
          <t>Directional HR model is critical for HR prop calibration — same exit conditions produce different HR rates by park and direction.</t>
        </is>
      </c>
    </row>
    <row r="16" ht="113.25" customHeight="1" s="47">
      <c r="A16" s="84" t="inlineStr">
        <is>
          <t>SIM-056</t>
        </is>
      </c>
      <c r="B16" s="84" t="inlineStr">
        <is>
          <t>Design count-stratified foul ball frequency weighting for outcome pool</t>
        </is>
      </c>
      <c r="C16" s="84" t="inlineStr">
        <is>
          <t>Simulation Loop</t>
        </is>
      </c>
      <c r="D16" s="84" t="inlineStr">
        <is>
          <t>Feature</t>
        </is>
      </c>
      <c r="E16" s="85" t="inlineStr">
        <is>
          <t>P1</t>
        </is>
      </c>
      <c r="F16" s="84" t="inlineStr">
        <is>
          <t>S (1–2 days)</t>
        </is>
      </c>
      <c r="G16" s="84" t="inlineStr">
        <is>
          <t>Backend Developer + Baseball Analyst</t>
        </is>
      </c>
      <c r="H16" s="87" t="inlineStr">
        <is>
          <t>Closed</t>
        </is>
      </c>
      <c r="I16" s="84" t="inlineStr">
        <is>
          <t>No</t>
        </is>
      </c>
      <c r="J16" s="84" t="inlineStr">
        <is>
          <t>Foul balls occur at dramatically different rates depending on count. With 2 strikes, batters foul off significantly more pitches as they protect. The outcome pool must weight foul ball outcomes by count to avoid over/under-representing them in the simulation. This affects both K-rate and PA length distributions.</t>
        </is>
      </c>
      <c r="K16" s="84" t="inlineStr">
        <is>
          <t>1. Compute foul_rate by count (balls, strikes) in derived.batter_season_metrics.
2. Apply count-stratified foul rate as a weight modifier in get_outcome_pool() — outcomes sampled from the pool respect the correct foul frequency for the current count.
3. BA to confirm the expected foul rate pattern: 2-strike counts should show foul rates 2-3× higher than 0-strike counts for contact hitters.
4. Unit test: simulate 1,000 2-strike PAs; assert foul ball rate &gt; 25% (vs. overall foul rate ~15%).</t>
        </is>
      </c>
      <c r="L16" s="84" t="inlineStr">
        <is>
          <t>SIM-111 (play pool query API contracts)</t>
        </is>
      </c>
      <c r="M16" s="84" t="inlineStr">
        <is>
          <t>Important for K-rate prop accuracy — undercounting fouls shortens simulated PA lengths and inflates K rates.</t>
        </is>
      </c>
    </row>
    <row r="17" ht="147" customHeight="1" s="47">
      <c r="A17" s="84" t="inlineStr">
        <is>
          <t>SIM-057</t>
        </is>
      </c>
      <c r="B17" s="84" t="inlineStr">
        <is>
          <t>Add opener_rate, extreme_shift_rate, intentional_walk_rate to manager profiles</t>
        </is>
      </c>
      <c r="C17" s="84" t="inlineStr">
        <is>
          <t>Schema / ETL</t>
        </is>
      </c>
      <c r="D17" s="84" t="inlineStr">
        <is>
          <t>Improvement</t>
        </is>
      </c>
      <c r="E17" s="85" t="inlineStr">
        <is>
          <t>P1</t>
        </is>
      </c>
      <c r="F17" s="84" t="inlineStr">
        <is>
          <t>M (3–5 days)</t>
        </is>
      </c>
      <c r="G17" s="84" t="inlineStr">
        <is>
          <t>Data Engineer + ML Engineer</t>
        </is>
      </c>
      <c r="H17" s="87" t="inlineStr">
        <is>
          <t>Open</t>
        </is>
      </c>
      <c r="I17" s="84" t="inlineStr">
        <is>
          <t>No</t>
        </is>
      </c>
      <c r="J17" s="84" t="inlineStr">
        <is>
          <t>opener_rate, closer_usage_rate, and sp_leverage_threshold are NULL placeholders in the current manager profile computor SQL. The BA audit confirmed extreme_shift_rate and intentional_walk_rate are also required. All five are NULL going into the manager engine build, making all managers appear identical on these features.</t>
        </is>
      </c>
      <c r="K17" s="84" t="inlineStr">
        <is>
          <t>1. Add to derived.manager_season_metrics: opener_rate FLOAT, extreme_shift_rate FLOAT, intentional_walk_rate FLOAT, season_era VARCHAR(15) CHECK (IN ('pre_shift_ban','post_shift_ban')).
2. Implement opener_rate: a game is an opener game if the starting pitcher faces &lt;= 9 distinct batters. Derivable from existing pitch data.
3. Implement season_era: CASE WHEN season &lt;= 2022 THEN 'pre_shift_ban' ELSE 'post_shift_ban' END.
4. Implement intentional_walk_rate from raw.pitches events column.
5. All five columns must be non-NULL for any manager with &gt;= 50 game sample.</t>
        </is>
      </c>
      <c r="L17" s="84" t="inlineStr">
        <is>
          <t>SIM-084 (DuckDB migration)</t>
        </is>
      </c>
      <c r="M17" s="84" t="inlineStr">
        <is>
          <t>Manager similarity engine (SIM-046) cannot be meaningfully built without these features.</t>
        </is>
      </c>
    </row>
    <row r="18" ht="147" customHeight="1" s="47">
      <c r="A18" s="84" t="inlineStr">
        <is>
          <t>SIM-059</t>
        </is>
      </c>
      <c r="B18" s="84" t="inlineStr">
        <is>
          <t>Revise pitcher-allowing-SBs feature set: stretch timing, pickoff success, delivery metrics</t>
        </is>
      </c>
      <c r="C18" s="84" t="inlineStr">
        <is>
          <t>Similarity Engines</t>
        </is>
      </c>
      <c r="D18" s="84" t="inlineStr">
        <is>
          <t>Improvement</t>
        </is>
      </c>
      <c r="E18" s="85" t="inlineStr">
        <is>
          <t>P1</t>
        </is>
      </c>
      <c r="F18" s="84" t="inlineStr">
        <is>
          <t>M (3–5 days)</t>
        </is>
      </c>
      <c r="G18" s="84" t="inlineStr">
        <is>
          <t>ML Engineer + Data Engineer</t>
        </is>
      </c>
      <c r="H18" s="87" t="inlineStr">
        <is>
          <t>Open</t>
        </is>
      </c>
      <c r="I18" s="84" t="inlineStr">
        <is>
          <t>No</t>
        </is>
      </c>
      <c r="J18" s="84" t="inlineStr">
        <is>
          <t>The pitcher-allowing-steals engine feature set must be revised before the engine is built (SIM-045). Current specification lacks: stretch timing metrics (not available directly in Statcast but can be approximated from pitch timing data), slide step usage rate, and separate LHP/RHP handedness partitions (LHP pickoff mechanics fundamentally differ from RHP).</t>
        </is>
      </c>
      <c r="K18" s="84" t="inlineStr">
        <is>
          <t>1. Define final feature set: stretch_delivery_time_proxy (time between consecutive pitches with runner on 1B), slide_step_rate (proportion of pitches from slide step position), pickoff_attempt_rate, pickoff_success_rate, sb_attempts_allowed_per_100_runners.
2. Derive stretch_delivery_time_proxy from pitch timing data in raw.pitches.
3. Add computed columns to derived.pitcher_season_metrics or a supplementary table.
4. Baseball Analyst reviews feature set before implementation begins.
5. Baseball Analyst confirmation that feature set captures the right dimensions of 'pitcher allows runners to run.'</t>
        </is>
      </c>
      <c r="L18" s="84" t="inlineStr">
        <is>
          <t>Baseball Analyst sign-off required before implementation</t>
        </is>
      </c>
      <c r="M18" s="84" t="inlineStr">
        <is>
          <t>Feature definition must be locked before SIM-045 (pitcher-steal engine) is built.</t>
        </is>
      </c>
    </row>
    <row r="19" ht="124.5" customHeight="1" s="47">
      <c r="A19" s="84" t="inlineStr">
        <is>
          <t>SIM-061</t>
        </is>
      </c>
      <c r="B19" s="84" t="inlineStr">
        <is>
          <t>Add pitch-type conditioning coefficients to steal attempt probability</t>
        </is>
      </c>
      <c r="C19" s="84" t="inlineStr">
        <is>
          <t>Simulation Loop</t>
        </is>
      </c>
      <c r="D19" s="84" t="inlineStr">
        <is>
          <t>Feature</t>
        </is>
      </c>
      <c r="E19" s="85" t="inlineStr">
        <is>
          <t>P1</t>
        </is>
      </c>
      <c r="F19" s="84" t="inlineStr">
        <is>
          <t>S (1–2 days)</t>
        </is>
      </c>
      <c r="G19" s="84" t="inlineStr">
        <is>
          <t>Backend Developer + Baseball Analyst</t>
        </is>
      </c>
      <c r="H19" s="87" t="inlineStr">
        <is>
          <t>Open</t>
        </is>
      </c>
      <c r="I19" s="84" t="inlineStr">
        <is>
          <t>No</t>
        </is>
      </c>
      <c r="J19" s="84" t="inlineStr">
        <is>
          <t>Steal attempt probability should be conditioned on the expected pitch type. Runners are significantly more likely to attempt a steal on an expected breaking ball (slower, harder to block) than a fastball. This is a well-established baseball reality that the current steal step ignores.</t>
        </is>
      </c>
      <c r="K19" s="84" t="inlineStr">
        <is>
          <t>1. Add pitch_type_steal_modifier: dict[str, float] to the steal attempt probability calculation in step_steal.py. Breaking balls: +15-20% modifier; fastballs: baseline; changeups: +5-10% (slower but less predictable).
2. Modifier sourced from historical SB attempt rates conditioned on pitch type from raw.pitches.
3. BA to validate modifier magnitudes against real steal attempt patterns.
4. Unit test: steal attempt probability on an expected curveball is statistically higher than on an expected fastball in the same game situation.</t>
        </is>
      </c>
      <c r="L19" s="84" t="inlineStr">
        <is>
          <t>SIM-108 (step_steal.py stub), SIM-044 (baserunner steal engine)</t>
        </is>
      </c>
      <c r="M19" s="84" t="inlineStr">
        <is>
          <t>Relatively small improvement in isolation but compounds over many simulation iterations.</t>
        </is>
      </c>
    </row>
    <row r="20" ht="147" customHeight="1" s="47">
      <c r="A20" s="84" t="inlineStr">
        <is>
          <t>SIM-062</t>
        </is>
      </c>
      <c r="B20" s="84" t="inlineStr">
        <is>
          <t>Upgrade catcher framing to logistic regression on zone distance features</t>
        </is>
      </c>
      <c r="C20" s="84" t="inlineStr">
        <is>
          <t>Simulation Loop</t>
        </is>
      </c>
      <c r="D20" s="84" t="inlineStr">
        <is>
          <t>Feature</t>
        </is>
      </c>
      <c r="E20" s="85" t="inlineStr">
        <is>
          <t>P1</t>
        </is>
      </c>
      <c r="F20" s="84" t="inlineStr">
        <is>
          <t>M (3–5 days)</t>
        </is>
      </c>
      <c r="G20" s="84" t="inlineStr">
        <is>
          <t>Data Engineer + Baseball Analyst</t>
        </is>
      </c>
      <c r="H20" s="87" t="inlineStr">
        <is>
          <t>Open</t>
        </is>
      </c>
      <c r="I20" s="84" t="inlineStr">
        <is>
          <t>No</t>
        </is>
      </c>
      <c r="J20" s="84" t="inlineStr">
        <is>
          <t>The current catcher framing model uses a simplified zone-based approach. Logistic regression on zone distance features (how far outside the zone the pitch landed, plate_x, plate_z, catcher_id) produces a probability of called strike that properly captures framing value at the margins.</t>
        </is>
      </c>
      <c r="K20" s="84" t="inlineStr">
        <is>
          <t>1. Fit logistic regression model in _compute_catcher_framing(): features are plate_x, plate_z, distance_from_zone_edge, catcher_id (encoded). Target: called_strike (1/0).
2. Store model coefficients in derived.catcher_season_metrics or a separate derived.catcher_framing_model table.
3. In step_outcome.py: use model to compute P(called_strike) for borderline pitches; sample the outcome probabilistically.
4. BA to validate: elite framers should have called_strike probability ~5-10% higher than average catchers on pitches 1-2 inches off the zone edge.</t>
        </is>
      </c>
      <c r="L20" s="84" t="inlineStr">
        <is>
          <t>SIM-043 (catcher schema columns), SIM-108 (step_outcome.py stub)</t>
        </is>
      </c>
      <c r="M20" s="84" t="inlineStr">
        <is>
          <t>Framing directly impacts called strike rate which affects pitcher K totals — relevant for K prop calibration.</t>
        </is>
      </c>
    </row>
    <row r="21" ht="135.75" customHeight="1" s="47">
      <c r="A21" s="84" t="inlineStr">
        <is>
          <t>SIM-063</t>
        </is>
      </c>
      <c r="B21" s="84" t="inlineStr">
        <is>
          <t>Add effective_date and prior_seasons_factor to park_factors — extended with DE schema work</t>
        </is>
      </c>
      <c r="C21" s="84" t="inlineStr">
        <is>
          <t>Schema / ETL</t>
        </is>
      </c>
      <c r="D21" s="84" t="inlineStr">
        <is>
          <t>Feature</t>
        </is>
      </c>
      <c r="E21" s="85" t="inlineStr">
        <is>
          <t>P1</t>
        </is>
      </c>
      <c r="F21" s="84" t="inlineStr">
        <is>
          <t>M (3–5 days)</t>
        </is>
      </c>
      <c r="G21" s="84" t="inlineStr">
        <is>
          <t>Data Engineer</t>
        </is>
      </c>
      <c r="H21" s="87" t="inlineStr">
        <is>
          <t>Open</t>
        </is>
      </c>
      <c r="I21" s="84" t="inlineStr">
        <is>
          <t>No</t>
        </is>
      </c>
      <c r="J21" s="84" t="inlineStr">
        <is>
          <t>Current park_factors PRIMARY KEY (venue_id, season, factor_type) prevents representing mid-season park renovations and early-season thin samples. DuckDB requires a CREATE-INSERT-DROP-RENAME pattern to ALTER PRIMARY KEY since ALTER TABLE ADD PRIMARY KEY is unsupported.</t>
        </is>
      </c>
      <c r="K21" s="84" t="inlineStr">
        <is>
          <t>1. Alter PRIMARY KEY to (venue_id, season, factor_type, effective_date). DuckDB implementation: CREATE new table with correct PK → INSERT SELECT from old → DROP old → RENAME new.
2. Add effective_date DATE NOT NULL DEFAULT '2000-01-01' (full-season baseline).
3. Add prior_seasons_factor FLOAT: weighted average of regressed_factor across prior 3 seasons for same venue/factor_type. Computed in _compute_park_factors().
4. Deliver as numbered DuckDB migration file.
5. Sequence: SIM-063 first (PRIMARY KEY change), then SIM-094 (adds directional HR distance columns).</t>
        </is>
      </c>
      <c r="L21" s="84" t="inlineStr">
        <is>
          <t>SIM-084 (DuckDB migration versioning)</t>
        </is>
      </c>
      <c r="M21" s="84" t="inlineStr">
        <is>
          <t>Must complete before SIM-094 (directional HR distances) — both modify park_factors; PK change first.</t>
        </is>
      </c>
    </row>
    <row r="22" ht="147" customHeight="1" s="47">
      <c r="A22" s="84" t="inlineStr">
        <is>
          <t>SIM-065</t>
        </is>
      </c>
      <c r="B22" s="84" t="inlineStr">
        <is>
          <t>Ghost runner explicit season conditioning + full GameState field spec</t>
        </is>
      </c>
      <c r="C22" s="84" t="inlineStr">
        <is>
          <t>Simulation Loop</t>
        </is>
      </c>
      <c r="D22" s="84" t="inlineStr">
        <is>
          <t>Feature</t>
        </is>
      </c>
      <c r="E22" s="85" t="inlineStr">
        <is>
          <t>P1</t>
        </is>
      </c>
      <c r="F22" s="84" t="inlineStr">
        <is>
          <t>S (1–2 days)</t>
        </is>
      </c>
      <c r="G22" s="84" t="inlineStr">
        <is>
          <t>Backend Developer + Baseball Analyst</t>
        </is>
      </c>
      <c r="H22" s="87" t="inlineStr">
        <is>
          <t>Open</t>
        </is>
      </c>
      <c r="I22" s="84" t="inlineStr">
        <is>
          <t>No</t>
        </is>
      </c>
      <c r="J22" s="84" t="inlineStr">
        <is>
          <t>The Phase 4 spec mentions ghost runner rule for extra innings but provides no spec for how it interacts with GameState initialization. The ghost runner is placed on 2B at the start of each extra half-inning using the last-out batter from the previous inning — which requires tracking that player_id through play_history.</t>
        </is>
      </c>
      <c r="K22" s="84" t="inlineStr">
        <is>
          <t>1. Add to GameState dataclass: ghost_runner_active: bool, ghost_runner_player_id: int | None.
2. Loop control step (Step 4.10): at start of each extra half-inning past the 9th, set on_2b = last_out_player_id from play_history, ghost_runner_active = True.
3. Season conditioning: 2023+ → ghost runner applies; 2022 and earlier → no ghost runner. Implemented as a GameState initialization parameter.
4. Baserunner advancement step: check ghost_runner_active to exclude the ghost runner from per-player stat accumulation in SimulationResults.
5. Ghost runner scores as a run (correct per MLB rules) but is excluded from per-player RBI attribution.</t>
        </is>
      </c>
      <c r="L22" s="84" t="inlineStr">
        <is>
          <t>SIM-110 (GameState spec), SIM-108 (GameState dataclass implementation)</t>
        </is>
      </c>
      <c r="M22" s="84" t="inlineStr">
        <is>
          <t>Season conditioning prevents incorrect ghost runner behavior when simulating historical 2022 games.</t>
        </is>
      </c>
    </row>
    <row r="23" ht="23.25" customHeight="1" s="47">
      <c r="A23" s="84" t="inlineStr">
        <is>
          <t>SIM-066</t>
        </is>
      </c>
      <c r="B23" s="84" t="inlineStr">
        <is>
          <t>BaserunnerStealSimilarityEngine (Step 2.5)</t>
        </is>
      </c>
      <c r="C23" s="84" t="inlineStr">
        <is>
          <t>Similarity Engines</t>
        </is>
      </c>
      <c r="D23" s="84" t="inlineStr">
        <is>
          <t>Feature</t>
        </is>
      </c>
      <c r="E23" s="85" t="inlineStr">
        <is>
          <t>P1</t>
        </is>
      </c>
      <c r="F23" s="84" t="inlineStr">
        <is>
          <t>M</t>
        </is>
      </c>
      <c r="G23" s="84" t="inlineStr">
        <is>
          <t>ML Engineer</t>
        </is>
      </c>
      <c r="H23" s="89" t="inlineStr">
        <is>
          <t>Closed</t>
        </is>
      </c>
      <c r="I23" s="84" t="inlineStr">
        <is>
          <t>No</t>
        </is>
      </c>
      <c r="J23" s="84" t="inlineStr">
        <is>
          <t>No engine matched baserunners by steal tendency / first-step / success.</t>
        </is>
      </c>
      <c r="K23" s="84" t="inlineStr">
        <is>
          <t>RBF engine with 3 sub-scores (tendency 40, jump 35, success 25); EB_N_PRIOR=20.</t>
        </is>
      </c>
      <c r="L23" s="84" t="inlineStr">
        <is>
          <t>SIM-071 (package structure)</t>
        </is>
      </c>
      <c r="M23" s="84" t="inlineStr">
        <is>
          <t>Shipped sprint 2026-05-05. Full details in CHANGES.md.</t>
        </is>
      </c>
    </row>
    <row r="24" ht="23.25" customHeight="1" s="47">
      <c r="A24" s="84" t="inlineStr">
        <is>
          <t>SIM-067</t>
        </is>
      </c>
      <c r="B24" s="84" t="inlineStr">
        <is>
          <t>CatcherSimilarityEngine (Step 2.6)</t>
        </is>
      </c>
      <c r="C24" s="84" t="inlineStr">
        <is>
          <t>Similarity Engines</t>
        </is>
      </c>
      <c r="D24" s="84" t="inlineStr">
        <is>
          <t>Feature</t>
        </is>
      </c>
      <c r="E24" s="85" t="inlineStr">
        <is>
          <t>P1</t>
        </is>
      </c>
      <c r="F24" s="84" t="inlineStr">
        <is>
          <t>M</t>
        </is>
      </c>
      <c r="G24" s="84" t="inlineStr">
        <is>
          <t>ML Engineer</t>
        </is>
      </c>
      <c r="H24" s="89" t="inlineStr">
        <is>
          <t>Closed</t>
        </is>
      </c>
      <c r="I24" s="84" t="inlineStr">
        <is>
          <t>No</t>
        </is>
      </c>
      <c r="J24" s="84" t="inlineStr">
        <is>
          <t>Multi-dimensional catcher profile (framing, blocking, throwing, offense).</t>
        </is>
      </c>
      <c r="K24" s="84" t="inlineStr">
        <is>
          <t>RBF with 4 sub-scores; EB_N_PRIOR=15; min 300 pitches received.</t>
        </is>
      </c>
      <c r="L24" s="84" t="inlineStr">
        <is>
          <t>SIM-071</t>
        </is>
      </c>
      <c r="M24" s="84" t="inlineStr">
        <is>
          <t>Shipped sprint 2026-05-05. Superseded for throwing split by SIM-072.</t>
        </is>
      </c>
    </row>
    <row r="25" ht="23.25" customHeight="1" s="47">
      <c r="A25" s="84" t="inlineStr">
        <is>
          <t>SIM-068</t>
        </is>
      </c>
      <c r="B25" s="84" t="inlineStr">
        <is>
          <t>PitcherStealSimilarityEngine (Step 2.7)</t>
        </is>
      </c>
      <c r="C25" s="84" t="inlineStr">
        <is>
          <t>Similarity Engines</t>
        </is>
      </c>
      <c r="D25" s="84" t="inlineStr">
        <is>
          <t>Feature</t>
        </is>
      </c>
      <c r="E25" s="85" t="inlineStr">
        <is>
          <t>P1</t>
        </is>
      </c>
      <c r="F25" s="84" t="inlineStr">
        <is>
          <t>M</t>
        </is>
      </c>
      <c r="G25" s="84" t="inlineStr">
        <is>
          <t>ML Engineer</t>
        </is>
      </c>
      <c r="H25" s="89" t="inlineStr">
        <is>
          <t>Closed</t>
        </is>
      </c>
      <c r="I25" s="84" t="inlineStr">
        <is>
          <t>No</t>
        </is>
      </c>
      <c r="J25" s="84" t="inlineStr">
        <is>
          <t>Pitcher hold-runner / disengagement / pickoff profile.</t>
        </is>
      </c>
      <c r="K25" s="84" t="inlineStr">
        <is>
          <t>RBF with delivery/disengagement/outcomes; EB_N_PRIOR=25.</t>
        </is>
      </c>
      <c r="L25" s="84" t="inlineStr">
        <is>
          <t>SIM-071</t>
        </is>
      </c>
      <c r="M25" s="84" t="inlineStr">
        <is>
          <t>Shipped sprint 2026-05-05.</t>
        </is>
      </c>
    </row>
    <row r="26" ht="23.25" customHeight="1" s="47">
      <c r="A26" s="84" t="inlineStr">
        <is>
          <t>SIM-069</t>
        </is>
      </c>
      <c r="B26" s="84" t="inlineStr">
        <is>
          <t>ManagerSimilarityEngine (Step 2.8)</t>
        </is>
      </c>
      <c r="C26" s="84" t="inlineStr">
        <is>
          <t>Similarity Engines</t>
        </is>
      </c>
      <c r="D26" s="84" t="inlineStr">
        <is>
          <t>Feature</t>
        </is>
      </c>
      <c r="E26" s="85" t="inlineStr">
        <is>
          <t>P1</t>
        </is>
      </c>
      <c r="F26" s="84" t="inlineStr">
        <is>
          <t>M</t>
        </is>
      </c>
      <c r="G26" s="84" t="inlineStr">
        <is>
          <t>ML Engineer</t>
        </is>
      </c>
      <c r="H26" s="89" t="inlineStr">
        <is>
          <t>Closed</t>
        </is>
      </c>
      <c r="I26" s="84" t="inlineStr">
        <is>
          <t>No</t>
        </is>
      </c>
      <c r="J26" s="84" t="inlineStr">
        <is>
          <t>Manager behavioural fingerprint (pitcher usage, aggression, platoon).</t>
        </is>
      </c>
      <c r="K26" s="84" t="inlineStr">
        <is>
          <t>RBF with 3 sub-scores; EB_N_PRIOR=30; min 50 games.</t>
        </is>
      </c>
      <c r="L26" s="84" t="inlineStr">
        <is>
          <t>SIM-071</t>
        </is>
      </c>
      <c r="M26" s="84" t="inlineStr">
        <is>
          <t>Shipped sprint 2026-05-05.</t>
        </is>
      </c>
    </row>
    <row r="27" ht="23.25" customHeight="1" s="47">
      <c r="A27" s="84" t="inlineStr">
        <is>
          <t>SIM-070</t>
        </is>
      </c>
      <c r="B27" s="84" t="inlineStr">
        <is>
          <t>SituationSimilarityEngine (Step 2.9) — KDTree</t>
        </is>
      </c>
      <c r="C27" s="84" t="inlineStr">
        <is>
          <t>Similarity Engines</t>
        </is>
      </c>
      <c r="D27" s="84" t="inlineStr">
        <is>
          <t>Feature</t>
        </is>
      </c>
      <c r="E27" s="85" t="inlineStr">
        <is>
          <t>P1</t>
        </is>
      </c>
      <c r="F27" s="84" t="inlineStr">
        <is>
          <t>L</t>
        </is>
      </c>
      <c r="G27" s="84" t="inlineStr">
        <is>
          <t>ML Engineer</t>
        </is>
      </c>
      <c r="H27" s="89" t="inlineStr">
        <is>
          <t>Closed</t>
        </is>
      </c>
      <c r="I27" s="84" t="inlineStr">
        <is>
          <t>No</t>
        </is>
      </c>
      <c r="J27" s="84" t="inlineStr">
        <is>
          <t>Per-PA situation lookup (count + outs + baserunners + leverage).</t>
        </is>
      </c>
      <c r="K27" s="84" t="inlineStr">
        <is>
          <t>scipy KDTree; 11-feature SituationVector; importance-weighted scaling.</t>
        </is>
      </c>
      <c r="L27" s="84" t="inlineStr">
        <is>
          <t>SIM-071</t>
        </is>
      </c>
      <c r="M27" s="84" t="inlineStr">
        <is>
          <t>Shipped sprint 2026-05-05.</t>
        </is>
      </c>
    </row>
    <row r="28" ht="23.25" customHeight="1" s="47">
      <c r="A28" s="84" t="inlineStr">
        <is>
          <t>SIM-071</t>
        </is>
      </c>
      <c r="B28" s="84" t="inlineStr">
        <is>
          <t>ML Engine Tests + Diagnostics Enhancement</t>
        </is>
      </c>
      <c r="C28" s="84" t="inlineStr">
        <is>
          <t>Testing</t>
        </is>
      </c>
      <c r="D28" s="84" t="inlineStr">
        <is>
          <t>Feature</t>
        </is>
      </c>
      <c r="E28" s="85" t="inlineStr">
        <is>
          <t>P1</t>
        </is>
      </c>
      <c r="F28" s="84" t="inlineStr">
        <is>
          <t>M</t>
        </is>
      </c>
      <c r="G28" s="84" t="inlineStr">
        <is>
          <t>ML Engineer</t>
        </is>
      </c>
      <c r="H28" s="89" t="inlineStr">
        <is>
          <t>Closed</t>
        </is>
      </c>
      <c r="I28" s="84" t="inlineStr">
        <is>
          <t>No</t>
        </is>
      </c>
      <c r="J28" s="84" t="inlineStr">
        <is>
          <t>No tests for SIM-066..070 + run_generic_diagnostics didn't exist.</t>
        </is>
      </c>
      <c r="K28" s="84" t="inlineStr">
        <is>
          <t>Added run_generic_diagnostics; ~50 new unit tests across 7 classes.</t>
        </is>
      </c>
      <c r="L28" s="84" t="inlineStr">
        <is>
          <t>SIM-066..070</t>
        </is>
      </c>
      <c r="M28" s="84" t="inlineStr">
        <is>
          <t>Shipped sprint 2026-05-05.</t>
        </is>
      </c>
    </row>
    <row r="29" ht="157.5" customHeight="1" s="47">
      <c r="A29" s="84" t="inlineStr">
        <is>
          <t>SIM-072</t>
        </is>
      </c>
      <c r="B29" s="84" t="inlineStr">
        <is>
          <t>CatcherSimilarityEngine v2 — split throwing into Execution + Deterrence</t>
        </is>
      </c>
      <c r="C29" s="84" t="inlineStr">
        <is>
          <t>Similarity Engines</t>
        </is>
      </c>
      <c r="D29" s="84" t="inlineStr">
        <is>
          <t>Enhancement</t>
        </is>
      </c>
      <c r="E29" s="85" t="inlineStr">
        <is>
          <t>P1</t>
        </is>
      </c>
      <c r="F29" s="84" t="inlineStr">
        <is>
          <t>M (3–5 days)</t>
        </is>
      </c>
      <c r="G29" s="84" t="inlineStr">
        <is>
          <t>ML Engineer</t>
        </is>
      </c>
      <c r="H29" s="86" t="inlineStr">
        <is>
          <t>Shipped 2026-05-14 (sprint 2026-05-13)</t>
        </is>
      </c>
      <c r="I29" s="84" t="inlineStr">
        <is>
          <t>No</t>
        </is>
      </c>
      <c r="J29" s="84" t="inlineStr">
        <is>
          <t>Carry-forward of the Baseball Analyst pushback memo from sprint 2026-05-06: the v1 catcher engine bundles pop time, CS rate, exchange and arm strength into one 20% Throwing dimension. Elite-arm catchers who rarely get challenged collapse into the league mean because the CS-rate denominator goes near zero, so the engine could not distinguish 'great arm, nobody runs' from 'no arm, everyone runs and succeeds'.</t>
        </is>
      </c>
      <c r="K29" s="84" t="inlineStr">
        <is>
          <t>1. New deterrence_score field on CatcherSimilarityResult (8 % weight).
2. Existing throwing_score reduced to 12 % weight; same four execution features.
3. deterrence_score uses steal_attempt_rate_against as its sole feature.
4. Composite weights sum to 1.0: Framing 45 + Blocking 20 + Execution 12 + Deterrence 8 + Offense 15 = 100.
5. EB_N_PRIOR=15 retained.
6. Regression fixtures regenerated.
7. TestWeightConstants updated for the 5-sub-score scheme.
8. Synthetic high-deterrence/low-execution vs inverse must score &lt; 0.40.</t>
        </is>
      </c>
      <c r="L29" s="84" t="inlineStr">
        <is>
          <t>SIM-073 (data dependency)</t>
        </is>
      </c>
      <c r="M29" s="84" t="inlineStr">
        <is>
          <t>Supersedes the composite weight scheme from SIM-067.</t>
        </is>
      </c>
    </row>
    <row r="30" ht="147" customHeight="1" s="47">
      <c r="A30" s="84" t="inlineStr">
        <is>
          <t>SIM-073</t>
        </is>
      </c>
      <c r="B30" s="84" t="inlineStr">
        <is>
          <t>Add steal_attempt_rate_against column to derived.catcher_season_metrics</t>
        </is>
      </c>
      <c r="C30" s="84" t="inlineStr">
        <is>
          <t>Schema / ETL</t>
        </is>
      </c>
      <c r="D30" s="84" t="inlineStr">
        <is>
          <t>Gap</t>
        </is>
      </c>
      <c r="E30" s="85" t="inlineStr">
        <is>
          <t>P1</t>
        </is>
      </c>
      <c r="F30" s="84" t="inlineStr">
        <is>
          <t>S (1–2 days)</t>
        </is>
      </c>
      <c r="G30" s="84" t="inlineStr">
        <is>
          <t>Data Engineer</t>
        </is>
      </c>
      <c r="H30" s="86" t="inlineStr">
        <is>
          <t>Shipped 2026-05-14 (sprint 2026-05-13)</t>
        </is>
      </c>
      <c r="I30" s="84" t="inlineStr">
        <is>
          <t>No</t>
        </is>
      </c>
      <c r="J30" s="84" t="inlineStr">
        <is>
          <t>SIM-072 v2 needs a Deterrence sub-score driven by the rate at which opposing runners attempt to steal against this catcher per PA opportunity. Column doesn't exist yet on the derived table.</t>
        </is>
      </c>
      <c r="K30" s="84" t="inlineStr">
        <is>
          <t>1. New column steal_attempt_rate_against FLOAT on derived.catcher_season_metrics.
2. Numbered DuckDB migration 0002_catcher_attempt_rate_against.sql.
3. duckdb_schema_version.txt incremented to 2.
4. Schema source file updated.
5. _compute_catcher_throwing() populates the column.
6. Formula: (SB+CS) / (opp_1B + opp_2B), PA-level, force-advance PAs excluded.
7. Min-sample guard: NULL if denominator &lt; 100 PA opportunities.
8. Backfill 2022/2023/2024.</t>
        </is>
      </c>
      <c r="L30" s="84" t="inlineStr">
        <is>
          <t>SIM-084 (DuckDB migration pattern)</t>
        </is>
      </c>
      <c r="M30" s="84" t="inlineStr">
        <is>
          <t>Blocks SIM-072.</t>
        </is>
      </c>
    </row>
    <row r="31" ht="135.75" customHeight="1" s="47">
      <c r="A31" s="84" t="inlineStr">
        <is>
          <t>SIM-074</t>
        </is>
      </c>
      <c r="B31" s="84" t="inlineStr">
        <is>
          <t>Fix barrel_rate computation — implement full Statcast sliding-scale definition</t>
        </is>
      </c>
      <c r="C31" s="84" t="inlineStr">
        <is>
          <t>Schema / ETL</t>
        </is>
      </c>
      <c r="D31" s="84" t="inlineStr">
        <is>
          <t>Bug</t>
        </is>
      </c>
      <c r="E31" s="85" t="inlineStr">
        <is>
          <t>P1</t>
        </is>
      </c>
      <c r="F31" s="84" t="inlineStr">
        <is>
          <t>S (1–2 days)</t>
        </is>
      </c>
      <c r="G31" s="84" t="inlineStr">
        <is>
          <t>Data Engineer</t>
        </is>
      </c>
      <c r="H31" s="87" t="inlineStr">
        <is>
          <t>Closed</t>
        </is>
      </c>
      <c r="I31" s="84" t="inlineStr">
        <is>
          <t>No</t>
        </is>
      </c>
      <c r="J31" s="84" t="inlineStr">
        <is>
          <t>The current barrel definition (exit_velo &gt;= 98 AND launch_angle 26-30 degrees) uses a tight fixed band. Statcast's actual barrel definition is a sliding scale: required LA decreases as EV increases above 98 mph. This produces barrel rates substantially lower than published Statcast values, biasing power profiles.</t>
        </is>
      </c>
      <c r="K31" s="84" t="inlineStr">
        <is>
          <t>1. Replace fixed-band definition with sliding-scale lookup table: at 98 mph LA must be 26-30°; at 100 mph 24-33°; at 110 mph 17-41°; at 116+ mph 8-50°. Implement as linear interpolation between anchor points.
2. Verify: recalculate barrel_rate for 10 known players (e.g., Aaron Judge, Shohei Ohtani) and confirm within 0.5% of published Baseball Savant barrel rates.
3. Update avg_launch_angle computation (suspected NULL gap) — confirm it is populated in derived.batter_season_metrics.
4. Re-run batter profile computor; confirm barrel_rate column no longer systematically lower than Savant leaderboard.</t>
        </is>
      </c>
      <c r="L31" s="84" t="inlineStr">
        <is>
          <t>None</t>
        </is>
      </c>
      <c r="M31" s="84" t="inlineStr">
        <is>
          <t>Affects power sub-score and HR prop calibration. Also confirms avg_launch_angle is populated.</t>
        </is>
      </c>
    </row>
    <row r="32" ht="168.75" customHeight="1" s="47">
      <c r="A32" s="84" t="inlineStr">
        <is>
          <t>SIM-075</t>
        </is>
      </c>
      <c r="B32" s="84" t="inlineStr">
        <is>
          <t>Vectorize arsenal W2 cache lookup — replace O(N) Python dict loop with NumPy matrix row slice</t>
        </is>
      </c>
      <c r="C32" s="84" t="inlineStr">
        <is>
          <t>Performance</t>
        </is>
      </c>
      <c r="D32" s="84" t="inlineStr">
        <is>
          <t>Improvement</t>
        </is>
      </c>
      <c r="E32" s="85" t="inlineStr">
        <is>
          <t>P1</t>
        </is>
      </c>
      <c r="F32" s="84" t="inlineStr">
        <is>
          <t>M (3–5 days)</t>
        </is>
      </c>
      <c r="G32" s="84" t="inlineStr">
        <is>
          <t>ML Engineer + Performance Engineer</t>
        </is>
      </c>
      <c r="H32" s="87" t="inlineStr">
        <is>
          <t>Closed</t>
        </is>
      </c>
      <c r="I32" s="84" t="inlineStr">
        <is>
          <t>No</t>
        </is>
      </c>
      <c r="J32" s="84" t="inlineStr">
        <is>
          <t>ELEVATED from P2 Phase 4/5 to P1 current sprint. The O(N) Python dict loop in HandednessPartition.score_all() contributes an estimated 72 seconds of overhead per 100-game batch — more than double the 30-second SLA. The ArsenalCache stores distances in a dict with tuple-of-tuples keys consuming ~576MB for 2,400 profiles. A NumPy matrix reduces this to ~22MB and enables O(1) row slice retrieval.</t>
        </is>
      </c>
      <c r="K32" s="84" t="inlineStr">
        <is>
          <t>1. Replace dict[tuple, float] with 2D float32 NumPy matrix indexed by pitcher_index.
2. Add pitcher_to_index: dict[tuple[int,int], int] mapping at cache build time.
3. Store distances as cache_matrix[min(i,j), max(i,j)] (upper triangular).
4. Expose single row retrieval: all_arsenal_scores = cache_matrix[query_idx].
5. Performance benchmark (SIM-118 harness): retrieving all arsenal scores for one query pitcher from 2,400-profile cache takes &lt;= 0.1ms.
6. Memory benchmark: ArsenalCache for 2,400 RHP profiles &lt;= 30MB (vs current ~576MB).
7. All existing ArsenalCache tests pass (save/load, symmetric keys, etc.).</t>
        </is>
      </c>
      <c r="L32" s="84" t="inlineStr">
        <is>
          <t>SIM-071 (base.py refactor should happen first)</t>
        </is>
      </c>
      <c r="M32" s="84" t="inlineStr">
        <is>
          <t>FATAL SLA risk if not fixed before Phase 4 simulation loop builds on top of the cache.</t>
        </is>
      </c>
    </row>
    <row r="33" ht="168.75" customHeight="1" s="47">
      <c r="A33" s="84" t="inlineStr">
        <is>
          <t>SIM-076</t>
        </is>
      </c>
      <c r="B33" s="84" t="inlineStr">
        <is>
          <t>Add recency_weight to all three sim pool tables + walk-forward backtesting harness</t>
        </is>
      </c>
      <c r="C33" s="84" t="inlineStr">
        <is>
          <t>Schema / ETL</t>
        </is>
      </c>
      <c r="D33" s="84" t="inlineStr">
        <is>
          <t>Improvement</t>
        </is>
      </c>
      <c r="E33" s="85" t="inlineStr">
        <is>
          <t>P1</t>
        </is>
      </c>
      <c r="F33" s="84" t="inlineStr">
        <is>
          <t>L (1–2 weeks)</t>
        </is>
      </c>
      <c r="G33" s="84" t="inlineStr">
        <is>
          <t>Data Engineer + ML Engineer</t>
        </is>
      </c>
      <c r="H33" s="87" t="inlineStr">
        <is>
          <t>Closed</t>
        </is>
      </c>
      <c r="I33" s="84" t="inlineStr">
        <is>
          <t>No</t>
        </is>
      </c>
      <c r="J33" s="84" t="inlineStr">
        <is>
          <t>The project plan specifies 2× recency weighting for last 2 seasons. No sim pool table has a recency_weight column. The play pool query API (Phase 3 primary output) cannot implement this without a column to store it. Additionally, the walk-forward backtesting harness is a Phase 3 gate — it must validate that engines find predictive comps before the simulation loop is built on top of them. ECE (not MAE) is the primary pass/fail criterion per the BA audit.</t>
        </is>
      </c>
      <c r="K33" s="84" t="inlineStr">
        <is>
          <t>1. DuckDB migration: add recency_weight FLOAT NOT NULL DEFAULT 1.0 to sim.pitch_pool, sim.outcome_pool, AND sim.stolen_base_pool.
2. Populate in pool build methods: CASE WHEN season &gt;= current_max_season - 1 THEN 2.0 ELSE 1.0 END.
3. Store current_max_season in sim.build_metadata table.
4. Walk-forward harness: hold out 2024 data; build engines on 2022-2023; for each pitcher find top-20 comps; compare comp K-rate distribution to actual 2024 K-rate.
5. PRIMARY criterion: ECE &lt;= 0.05 (not MAE). Fail harness if any engine ECE &gt; 0.05.
6. Prop-specific calibration curves for K, hits, HR (per SIM-076 BA extension).
7. BSS computation: sim Brier score vs market closing line Brier score.</t>
        </is>
      </c>
      <c r="L33" s="84" t="inlineStr">
        <is>
          <t>SIM-084, SIM-133 (closing line for BSS calculation), SIM-048 (registry)</t>
        </is>
      </c>
      <c r="M33" s="84" t="inlineStr">
        <is>
          <t>Phase 3 cannot begin until this validates that the engines are predictive.</t>
        </is>
      </c>
    </row>
    <row r="34" ht="147" customHeight="1" s="47">
      <c r="A34" s="84" t="inlineStr">
        <is>
          <t>SIM-077</t>
        </is>
      </c>
      <c r="B34" s="84" t="inlineStr">
        <is>
          <t>Join raw.sprint_speed into baserunner and fielder profile computations — replace proxy and hardcoded defaults</t>
        </is>
      </c>
      <c r="C34" s="84" t="inlineStr">
        <is>
          <t>Schema / ETL</t>
        </is>
      </c>
      <c r="D34" s="84" t="inlineStr">
        <is>
          <t>Bug</t>
        </is>
      </c>
      <c r="E34" s="85" t="inlineStr">
        <is>
          <t>P1</t>
        </is>
      </c>
      <c r="F34" s="84" t="inlineStr">
        <is>
          <t>S (1–2 days)</t>
        </is>
      </c>
      <c r="G34" s="84" t="inlineStr">
        <is>
          <t>Data Engineer</t>
        </is>
      </c>
      <c r="H34" s="87" t="inlineStr">
        <is>
          <t>Open</t>
        </is>
      </c>
      <c r="I34" s="84" t="inlineStr">
        <is>
          <t>No</t>
        </is>
      </c>
      <c r="J34" s="84" t="inlineStr">
        <is>
          <t>raw.sprint_speed exists and is populated by etl_sprint_speed_loader.py, but is never joined in any profile computation. The baserunner profile computor uses an inverted proxy formula (measures outcome success, not speed). The fielder computor uses DEFAULT_SPRINT_SPEED_FPS=27.0 (one speed for every batter in the league). Both are wrong and the fix data exists in the database.</t>
        </is>
      </c>
      <c r="K34" s="84" t="inlineStr">
        <is>
          <t>1. In _compute_baserunner_profiles(): LEFT JOIN pg.raw.sprint_speed ss ON ss.player_id = runner_id AND ss.season. Use ss.sprint_speed as the primary value, NULL fallback (not the proxy formula). Track sprint_speed_source='measured'|'null'.
2. In _compute_infield_oaa() and _compute_outfield_catch_probability(): LEFT JOIN pg.raw.sprint_speed for batter sprint speeds; replace DEFAULT_SPRINT_SPEED_FPS=27.0.
3. Assertion: sprint_speed_source='measured' coverage &gt; 80% for 2022-2025 seasons.
4. Unit test: a profile using measured sprint_speed differs in Speed sub-score from one using the proxy formula.</t>
        </is>
      </c>
      <c r="L34" s="84" t="inlineStr">
        <is>
          <t>etl_sprint_speed_loader.py must have been run for 2022-2025</t>
        </is>
      </c>
      <c r="M34" s="84" t="inlineStr">
        <is>
          <t>The sprint speed table was built specifically to fix this — it's just not wired in yet.</t>
        </is>
      </c>
    </row>
    <row r="35" ht="147" customHeight="1" s="47">
      <c r="A35" s="84" t="inlineStr">
        <is>
          <t>SIM-078</t>
        </is>
      </c>
      <c r="B35" s="84" t="inlineStr">
        <is>
          <t>Apply quantile normalization to right-skewed OF arm metrics before Z-scoring</t>
        </is>
      </c>
      <c r="C35" s="84" t="inlineStr">
        <is>
          <t>Similarity Engines</t>
        </is>
      </c>
      <c r="D35" s="84" t="inlineStr">
        <is>
          <t>Improvement</t>
        </is>
      </c>
      <c r="E35" s="85" t="inlineStr">
        <is>
          <t>P1</t>
        </is>
      </c>
      <c r="F35" s="84" t="inlineStr">
        <is>
          <t>S (1–2 days)</t>
        </is>
      </c>
      <c r="G35" s="84" t="inlineStr">
        <is>
          <t>ML Engineer</t>
        </is>
      </c>
      <c r="H35" s="87" t="inlineStr">
        <is>
          <t>Open</t>
        </is>
      </c>
      <c r="I35" s="84" t="inlineStr">
        <is>
          <t>No</t>
        </is>
      </c>
      <c r="J35" s="84" t="inlineStr">
        <is>
          <t>OF arm metrics (arm_hold_rate, arm_thrown_out_rate) have Poisson-like distributions with most players clustered near 0. A Z-score normalizer on these produces extreme positive Z-scores for elite arms and collapses average arms together. The RBF kernel then treats 2-sigma and 3-sigma arms the same way.</t>
        </is>
      </c>
      <c r="K35" s="84" t="inlineStr">
        <is>
          <t>1. Apply rank-based (quantile) CDF transform to arm_hold_rate, arm_thrown_out_rate, arm_advancement_prevention BEFORE passing to FeatureNormalizer (for OF profiles only).
2. of_arm_runs (approximately normal) does NOT require this transform.
3. Implement as a pre-processing step in FielderSimilarityEngine.build() before normalizer fit.
4. Unit test: arm_hold_rate distribution after transform has near-uniform histogram.
5. Regression test: top-5 arm comps for a known elite arm player do not change substantially (rank correlation &gt;= 0.8 with pre-fix results).</t>
        </is>
      </c>
      <c r="L35" s="84" t="inlineStr">
        <is>
          <t>SIM-071 (base.py)</t>
        </is>
      </c>
      <c r="M35" s="84" t="inlineStr">
        <is>
          <t>Correctly represents the continuous variation in arm strength that gets compressed by Z-scoring.</t>
        </is>
      </c>
    </row>
    <row r="36" ht="135.75" customHeight="1" s="47">
      <c r="A36" s="84" t="inlineStr">
        <is>
          <t>SIM-079</t>
        </is>
      </c>
      <c r="B36" s="84" t="inlineStr">
        <is>
          <t>Add season_weight parameter to calibrate_sigma() — calibration must reflect recency-weighted population</t>
        </is>
      </c>
      <c r="C36" s="84" t="inlineStr">
        <is>
          <t>Similarity Engines</t>
        </is>
      </c>
      <c r="D36" s="84" t="inlineStr">
        <is>
          <t>Improvement</t>
        </is>
      </c>
      <c r="E36" s="85" t="inlineStr">
        <is>
          <t>P1</t>
        </is>
      </c>
      <c r="F36" s="84" t="inlineStr">
        <is>
          <t>S (1–2 days)</t>
        </is>
      </c>
      <c r="G36" s="84" t="inlineStr">
        <is>
          <t>ML Engineer</t>
        </is>
      </c>
      <c r="H36" s="87" t="inlineStr">
        <is>
          <t>Open</t>
        </is>
      </c>
      <c r="I36" s="84" t="inlineStr">
        <is>
          <t>No</t>
        </is>
      </c>
      <c r="J36" s="84" t="inlineStr">
        <is>
          <t>If recency weighting is applied at query time (SIM-076) but sigma was calibrated without it, the effective score distribution will shift and the target median of 0.50 won't hold. Calibration must sample the same population the simulation queries.</t>
        </is>
      </c>
      <c r="K36" s="84" t="inlineStr">
        <is>
          <t>1. Add season_weight: dict[int, float] parameter to calibrate_sigma() and all calibration routines (default: equal weights for backward compat).
2. When sampling random pairs for sigma estimation, oversample from high-weight seasons at the specified multiplier.
3. Store seasons_weights_used in CalibrationReport for reproducibility.
4. Apply same season_weight to calibrate_eb_prior() and calibrate_reliability_weights().
5. Re-run full calibration with season_weights after SIM-076 recency weights confirmed.</t>
        </is>
      </c>
      <c r="L36" s="84" t="inlineStr">
        <is>
          <t>SIM-076 (recency weights must be defined first)</t>
        </is>
      </c>
      <c r="M36" s="84" t="inlineStr">
        <is>
          <t>Ensures calibrated sigmas match the actual distribution the simulation samples.</t>
        </is>
      </c>
    </row>
    <row r="37" ht="79.5" customHeight="1" s="47">
      <c r="A37" s="84" t="inlineStr">
        <is>
          <t>SIM-080</t>
        </is>
      </c>
      <c r="B37" s="84" t="inlineStr">
        <is>
          <t>Add ordering guard to pitcher engine build() — document GMM/shrinkage dependency</t>
        </is>
      </c>
      <c r="C37" s="84" t="inlineStr">
        <is>
          <t>Similarity Engines</t>
        </is>
      </c>
      <c r="D37" s="84" t="inlineStr">
        <is>
          <t>Improvement</t>
        </is>
      </c>
      <c r="E37" s="88" t="inlineStr">
        <is>
          <t>P2</t>
        </is>
      </c>
      <c r="F37" s="84" t="inlineStr">
        <is>
          <t>S (&lt; 1 day)</t>
        </is>
      </c>
      <c r="G37" s="84" t="inlineStr">
        <is>
          <t>ML Engineer</t>
        </is>
      </c>
      <c r="H37" s="87" t="inlineStr">
        <is>
          <t>Open</t>
        </is>
      </c>
      <c r="I37" s="84" t="inlineStr">
        <is>
          <t>No</t>
        </is>
      </c>
      <c r="J37" s="84" t="inlineStr">
        <is>
          <t>In pitcher engine build(), EB shrinkage is applied before GMM standardization. These operate on different attributes currently so the order doesn't cause bugs today. However, if GMM shrinkage is ever added without fixing the order, standardization would run on unshrunk data. This is a latent ordering bug that needs a guard before the engine is extended.</t>
        </is>
      </c>
      <c r="K37" s="84" t="inlineStr">
        <is>
          <t>1. Add assertion after _apply_shrinkage(): confirm no profile.gmm has been modified (spot-check component means match pre-shrinkage values for 5 sample profiles).
2. Add code comment above _apply_shrinkage() call: 'ORDERING NOTE: shrinkage must be called before standardize_arsenals() if GMM shrinkage is ever added.'
3. No behavioral change — this is a guard, not a fix.</t>
        </is>
      </c>
      <c r="L37" s="84" t="inlineStr">
        <is>
          <t>None</t>
        </is>
      </c>
      <c r="M37" s="84" t="inlineStr">
        <is>
          <t>Latent bug guard — prevents future developers from introducing an ordering regression.</t>
        </is>
      </c>
    </row>
    <row r="38" ht="23.25" customHeight="1" s="47">
      <c r="A38" s="84" t="inlineStr">
        <is>
          <t>SIM-082</t>
        </is>
      </c>
      <c r="B38" s="84" t="inlineStr">
        <is>
          <t>Fix ON CONFLICT Crash in _upsert_lineup_state()</t>
        </is>
      </c>
      <c r="C38" s="84" t="inlineStr">
        <is>
          <t>Live Pipeline</t>
        </is>
      </c>
      <c r="D38" s="84" t="inlineStr">
        <is>
          <t>Bug</t>
        </is>
      </c>
      <c r="E38" s="85" t="inlineStr">
        <is>
          <t>P1</t>
        </is>
      </c>
      <c r="F38" s="84" t="inlineStr">
        <is>
          <t>S</t>
        </is>
      </c>
      <c r="G38" s="84" t="inlineStr">
        <is>
          <t>Data Engineer</t>
        </is>
      </c>
      <c r="H38" s="89" t="inlineStr">
        <is>
          <t>Closed</t>
        </is>
      </c>
      <c r="I38" s="84" t="inlineStr">
        <is>
          <t>No</t>
        </is>
      </c>
      <c r="J38" s="84" t="inlineStr">
        <is>
          <t>Missing unique partial index made every live lineup upsert raise.</t>
        </is>
      </c>
      <c r="K38" s="84" t="inlineStr">
        <is>
          <t>Alembic migration 0002 adds idx_lineup_state_live_game.</t>
        </is>
      </c>
      <c r="L38" s="84" t="inlineStr">
        <is>
          <t>SIM-084</t>
        </is>
      </c>
      <c r="M38" s="84" t="inlineStr">
        <is>
          <t>Shipped sprint 2026-05-05.</t>
        </is>
      </c>
    </row>
    <row r="39" ht="23.25" customHeight="1" s="47">
      <c r="A39" s="84" t="inlineStr">
        <is>
          <t>SIM-083</t>
        </is>
      </c>
      <c r="B39" s="84" t="inlineStr">
        <is>
          <t>Move ETL Freshness DDL into Canonical Schema</t>
        </is>
      </c>
      <c r="C39" s="84" t="inlineStr">
        <is>
          <t>Schema / ETL</t>
        </is>
      </c>
      <c r="D39" s="84" t="inlineStr">
        <is>
          <t>Bug</t>
        </is>
      </c>
      <c r="E39" s="85" t="inlineStr">
        <is>
          <t>P1</t>
        </is>
      </c>
      <c r="F39" s="84" t="inlineStr">
        <is>
          <t>S</t>
        </is>
      </c>
      <c r="G39" s="84" t="inlineStr">
        <is>
          <t>Data Engineer</t>
        </is>
      </c>
      <c r="H39" s="89" t="inlineStr">
        <is>
          <t>Closed</t>
        </is>
      </c>
      <c r="I39" s="84" t="inlineStr">
        <is>
          <t>No</t>
        </is>
      </c>
      <c r="J39" s="84" t="inlineStr">
        <is>
          <t>FRESHNESS_TABLE_DDL was a dead string constant; table never existed.</t>
        </is>
      </c>
      <c r="K39" s="84" t="inlineStr">
        <is>
          <t>Migration 0003 creates raw.etl_data_freshness, game_odds, prop_odds, pipeline_run_log.</t>
        </is>
      </c>
      <c r="L39" s="84" t="inlineStr">
        <is>
          <t>SIM-084</t>
        </is>
      </c>
      <c r="M39" s="84" t="inlineStr">
        <is>
          <t>Shipped sprint 2026-05-05.</t>
        </is>
      </c>
    </row>
    <row r="40" ht="23.25" customHeight="1" s="47">
      <c r="A40" s="84" t="inlineStr">
        <is>
          <t>SIM-084</t>
        </is>
      </c>
      <c r="B40" s="84" t="inlineStr">
        <is>
          <t>Initialize Alembic Migration Framework</t>
        </is>
      </c>
      <c r="C40" s="84" t="inlineStr">
        <is>
          <t>Infrastructure</t>
        </is>
      </c>
      <c r="D40" s="84" t="inlineStr">
        <is>
          <t>Gap</t>
        </is>
      </c>
      <c r="E40" s="85" t="inlineStr">
        <is>
          <t>P1</t>
        </is>
      </c>
      <c r="F40" s="84" t="inlineStr">
        <is>
          <t>M</t>
        </is>
      </c>
      <c r="G40" s="84" t="inlineStr">
        <is>
          <t>Data Engineer</t>
        </is>
      </c>
      <c r="H40" s="89" t="inlineStr">
        <is>
          <t>Closed</t>
        </is>
      </c>
      <c r="I40" s="84" t="inlineStr">
        <is>
          <t>No</t>
        </is>
      </c>
      <c r="J40" s="84" t="inlineStr">
        <is>
          <t>No Alembic migrations existed; ~15 schema-change tickets had no path.</t>
        </is>
      </c>
      <c r="K40" s="84" t="inlineStr">
        <is>
          <t>alembic.ini, env.py, 0001 baseline migration, mandatory migration workflow.</t>
        </is>
      </c>
      <c r="L40" s="84" t="inlineStr">
        <is>
          <t>None</t>
        </is>
      </c>
      <c r="M40" s="84" t="inlineStr">
        <is>
          <t>Shipped sprint 2026-05-05. Foundation ticket.</t>
        </is>
      </c>
    </row>
    <row r="41" ht="23.25" customHeight="1" s="47">
      <c r="A41" s="84" t="inlineStr">
        <is>
          <t>SIM-085</t>
        </is>
      </c>
      <c r="B41" s="84" t="inlineStr">
        <is>
          <t>Composite situation index on raw.pitches</t>
        </is>
      </c>
      <c r="C41" s="84" t="inlineStr">
        <is>
          <t>Schema / ETL</t>
        </is>
      </c>
      <c r="D41" s="84" t="inlineStr">
        <is>
          <t>Bug</t>
        </is>
      </c>
      <c r="E41" s="85" t="inlineStr">
        <is>
          <t>P1</t>
        </is>
      </c>
      <c r="F41" s="84" t="inlineStr">
        <is>
          <t>S</t>
        </is>
      </c>
      <c r="G41" s="84" t="inlineStr">
        <is>
          <t>Data Engineer</t>
        </is>
      </c>
      <c r="H41" s="89" t="inlineStr">
        <is>
          <t>Closed</t>
        </is>
      </c>
      <c r="I41" s="84" t="inlineStr">
        <is>
          <t>No</t>
        </is>
      </c>
      <c r="J41" s="84" t="inlineStr">
        <is>
          <t>Step 1.1 required composite (inning,outs,balls,strikes,on_1b,on_2b,on_3b) index.</t>
        </is>
      </c>
      <c r="K41" s="84" t="inlineStr">
        <is>
          <t>Migration 0005; partial index WHERE clean.</t>
        </is>
      </c>
      <c r="L41" s="84" t="inlineStr">
        <is>
          <t>SIM-084</t>
        </is>
      </c>
      <c r="M41" s="84" t="inlineStr">
        <is>
          <t>Shipped sprint 2026-05-06. PM-accepted 2026-05-07.</t>
        </is>
      </c>
    </row>
    <row r="42" ht="23.25" customHeight="1" s="47">
      <c r="A42" s="84" t="inlineStr">
        <is>
          <t>SIM-086</t>
        </is>
      </c>
      <c r="B42" s="84" t="inlineStr">
        <is>
          <t>Fix live pipeline venue_id=0 FK violation</t>
        </is>
      </c>
      <c r="C42" s="84" t="inlineStr">
        <is>
          <t>Live Pipeline</t>
        </is>
      </c>
      <c r="D42" s="84" t="inlineStr">
        <is>
          <t>Bug</t>
        </is>
      </c>
      <c r="E42" s="85" t="inlineStr">
        <is>
          <t>P1</t>
        </is>
      </c>
      <c r="F42" s="84" t="inlineStr">
        <is>
          <t>S</t>
        </is>
      </c>
      <c r="G42" s="84" t="inlineStr">
        <is>
          <t>Data Engineer</t>
        </is>
      </c>
      <c r="H42" s="89" t="inlineStr">
        <is>
          <t>Closed</t>
        </is>
      </c>
      <c r="I42" s="84" t="inlineStr">
        <is>
          <t>No</t>
        </is>
      </c>
      <c r="J42" s="84" t="inlineStr">
        <is>
          <t>_upsert_game_record inserted 0 sentinel; FK violation silently dropped game.</t>
        </is>
      </c>
      <c r="K42" s="84" t="inlineStr">
        <is>
          <t>Migration 0006 makes venue_id nullable; venue_backfill_job.py.</t>
        </is>
      </c>
      <c r="L42" s="84" t="inlineStr">
        <is>
          <t>SIM-084</t>
        </is>
      </c>
      <c r="M42" s="84" t="inlineStr">
        <is>
          <t>Shipped sprint 2026-05-06. PM-accepted 2026-05-07.</t>
        </is>
      </c>
    </row>
    <row r="43" ht="23.25" customHeight="1" s="47">
      <c r="A43" s="84" t="inlineStr">
        <is>
          <t>SIM-087</t>
        </is>
      </c>
      <c r="B43" s="84" t="inlineStr">
        <is>
          <t>Lower ETL release_speed warning threshold</t>
        </is>
      </c>
      <c r="C43" s="84" t="inlineStr">
        <is>
          <t>Schema / ETL</t>
        </is>
      </c>
      <c r="D43" s="84" t="inlineStr">
        <is>
          <t>Bug</t>
        </is>
      </c>
      <c r="E43" s="85" t="inlineStr">
        <is>
          <t>P1</t>
        </is>
      </c>
      <c r="F43" s="84" t="inlineStr">
        <is>
          <t>S</t>
        </is>
      </c>
      <c r="G43" s="84" t="inlineStr">
        <is>
          <t>Data Engineer</t>
        </is>
      </c>
      <c r="H43" s="89" t="inlineStr">
        <is>
          <t>Closed</t>
        </is>
      </c>
      <c r="I43" s="84" t="inlineStr">
        <is>
          <t>No</t>
        </is>
      </c>
      <c r="J43" s="84" t="inlineStr">
        <is>
          <t>70 mph threshold flagged legitimate slow curveballs as bad data.</t>
        </is>
      </c>
      <c r="K43" s="84" t="inlineStr">
        <is>
          <t>Validator 70-&gt;60 mph; trigger 60-&gt;50 mph via migration 0007.</t>
        </is>
      </c>
      <c r="L43" s="84" t="inlineStr">
        <is>
          <t>SIM-084</t>
        </is>
      </c>
      <c r="M43" s="84" t="inlineStr">
        <is>
          <t>Shipped sprint 2026-05-06. PM-accepted 2026-05-07.</t>
        </is>
      </c>
    </row>
    <row r="44" ht="23.25" customHeight="1" s="47">
      <c r="A44" s="84" t="inlineStr">
        <is>
          <t>SIM-088</t>
        </is>
      </c>
      <c r="B44" s="84" t="inlineStr">
        <is>
          <t>Drop idx_pitches_pitch_type — wasted write overhead</t>
        </is>
      </c>
      <c r="C44" s="84" t="inlineStr">
        <is>
          <t>Schema / ETL</t>
        </is>
      </c>
      <c r="D44" s="84" t="inlineStr">
        <is>
          <t>Improvement</t>
        </is>
      </c>
      <c r="E44" s="85" t="inlineStr">
        <is>
          <t>P1</t>
        </is>
      </c>
      <c r="F44" s="84" t="inlineStr">
        <is>
          <t>S</t>
        </is>
      </c>
      <c r="G44" s="84" t="inlineStr">
        <is>
          <t>Data Engineer</t>
        </is>
      </c>
      <c r="H44" s="89" t="inlineStr">
        <is>
          <t>Closed</t>
        </is>
      </c>
      <c r="I44" s="84" t="inlineStr">
        <is>
          <t>No</t>
        </is>
      </c>
      <c r="J44" s="84" t="inlineStr">
        <is>
          <t>Schema comment said pitch_type is reference-only but standalone index added 15MB/season.</t>
        </is>
      </c>
      <c r="K44" s="84" t="inlineStr">
        <is>
          <t>Migration 0008 DROP INDEX; canonical schema updated; CONCURRENTLY rebuild documented.</t>
        </is>
      </c>
      <c r="L44" s="84" t="inlineStr">
        <is>
          <t>SIM-084</t>
        </is>
      </c>
      <c r="M44" s="84" t="inlineStr">
        <is>
          <t>Shipped sprint 2026-05-06. PM-accepted 2026-05-07.</t>
        </is>
      </c>
    </row>
    <row r="45" ht="23.25" customHeight="1" s="47">
      <c r="A45" s="84" t="inlineStr">
        <is>
          <t>SIM-089</t>
        </is>
      </c>
      <c r="B45" s="84" t="inlineStr">
        <is>
          <t>Composite (pitcher, season) partial index</t>
        </is>
      </c>
      <c r="C45" s="84" t="inlineStr">
        <is>
          <t>Schema / ETL</t>
        </is>
      </c>
      <c r="D45" s="84" t="inlineStr">
        <is>
          <t>Improvement</t>
        </is>
      </c>
      <c r="E45" s="85" t="inlineStr">
        <is>
          <t>P1</t>
        </is>
      </c>
      <c r="F45" s="84" t="inlineStr">
        <is>
          <t>S</t>
        </is>
      </c>
      <c r="G45" s="84" t="inlineStr">
        <is>
          <t>Data Engineer</t>
        </is>
      </c>
      <c r="H45" s="89" t="inlineStr">
        <is>
          <t>Closed</t>
        </is>
      </c>
      <c r="I45" s="84" t="inlineStr">
        <is>
          <t>No</t>
        </is>
      </c>
      <c r="J45" s="84" t="inlineStr">
        <is>
          <t>Profile-computor hot path scanned all rows for a pitcher across seasons.</t>
        </is>
      </c>
      <c r="K45" s="84" t="inlineStr">
        <is>
          <t>Migration 0009 partial composite index WHERE clean.</t>
        </is>
      </c>
      <c r="L45" s="84" t="inlineStr">
        <is>
          <t>SIM-084</t>
        </is>
      </c>
      <c r="M45" s="84" t="inlineStr">
        <is>
          <t>Shipped sprint 2026-05-06. PM-accepted 2026-05-07.</t>
        </is>
      </c>
    </row>
    <row r="46" ht="147" customHeight="1" s="47">
      <c r="A46" s="84" t="inlineStr">
        <is>
          <t>SIM-090</t>
        </is>
      </c>
      <c r="B46" s="84" t="inlineStr">
        <is>
          <t>Replace per-game psycopg2 connect/close with connection pool in ETL</t>
        </is>
      </c>
      <c r="C46" s="84" t="inlineStr">
        <is>
          <t>Schema / ETL</t>
        </is>
      </c>
      <c r="D46" s="84" t="inlineStr">
        <is>
          <t>Improvement</t>
        </is>
      </c>
      <c r="E46" s="85" t="inlineStr">
        <is>
          <t>P1</t>
        </is>
      </c>
      <c r="F46" s="84" t="inlineStr">
        <is>
          <t>M (3–5 days)</t>
        </is>
      </c>
      <c r="G46" s="84" t="inlineStr">
        <is>
          <t>Data Engineer</t>
        </is>
      </c>
      <c r="H46" s="87" t="inlineStr">
        <is>
          <t>Closed</t>
        </is>
      </c>
      <c r="I46" s="84" t="inlineStr">
        <is>
          <t>No</t>
        </is>
      </c>
      <c r="J46" s="84" t="inlineStr">
        <is>
          <t>Each call to _get_conn() opens and closes a new psycopg2.connect() connection. For a full-season backfill of ~2,400 games, this is 2,400 sequential connection handshakes adding 24-120 seconds of pure TCP overhead. The freshness upsert adds a second open/close per game.</t>
        </is>
      </c>
      <c r="K46" s="84" t="inlineStr">
        <is>
          <t>1. Replace with psycopg2.pool.ThreadedConnectionPool(minconn=2, maxconn=10) initialized in HistoricalDataLoader.__init__().
2. Refactor _get_conn() context manager to acquire from pool and release on exit.
3. Pass a single connection through _process_and_insert() and _log_freshness() to eliminate the double open/close per game.
4. For Phase 5 async compatibility: note that asyncpg should replace psycopg2 throughout the ETL during Phase 5 migration — keep as psycopg2 pool for now.
5. Benchmark: full-season backfill completes at least 20% faster.</t>
        </is>
      </c>
      <c r="L46" s="84" t="inlineStr">
        <is>
          <t>None</t>
        </is>
      </c>
      <c r="M46" s="84" t="inlineStr">
        <is>
          <t>Deferred from current sprint — useful but not blocking Phase 2 completion.</t>
        </is>
      </c>
    </row>
    <row r="47" ht="23.25" customHeight="1" s="47">
      <c r="A47" s="84" t="inlineStr">
        <is>
          <t>SIM-091</t>
        </is>
      </c>
      <c r="B47" s="84" t="inlineStr">
        <is>
          <t>Add detail tables to _delete_seasons()</t>
        </is>
      </c>
      <c r="C47" s="84" t="inlineStr">
        <is>
          <t>Schema / ETL</t>
        </is>
      </c>
      <c r="D47" s="84" t="inlineStr">
        <is>
          <t>Bug</t>
        </is>
      </c>
      <c r="E47" s="85" t="inlineStr">
        <is>
          <t>P1</t>
        </is>
      </c>
      <c r="F47" s="84" t="inlineStr">
        <is>
          <t>S</t>
        </is>
      </c>
      <c r="G47" s="84" t="inlineStr">
        <is>
          <t>Data Engineer</t>
        </is>
      </c>
      <c r="H47" s="89" t="inlineStr">
        <is>
          <t>Closed</t>
        </is>
      </c>
      <c r="I47" s="84" t="inlineStr">
        <is>
          <t>No</t>
        </is>
      </c>
      <c r="J47" s="84" t="inlineStr">
        <is>
          <t>Per-play detail tables missing from full-rebuild deletion list.</t>
        </is>
      </c>
      <c r="K47" s="84" t="inlineStr">
        <is>
          <t>Tables enumerated; regression test parses schema for completeness.</t>
        </is>
      </c>
      <c r="L47" s="84" t="inlineStr">
        <is>
          <t>None</t>
        </is>
      </c>
      <c r="M47" s="84" t="inlineStr">
        <is>
          <t>Shipped sprint 2026-05-06. PM-accepted 2026-05-07.</t>
        </is>
      </c>
    </row>
    <row r="48" ht="34.5" customHeight="1" s="47">
      <c r="A48" s="84" t="inlineStr">
        <is>
          <t>SIM-092</t>
        </is>
      </c>
      <c r="B48" s="84" t="inlineStr">
        <is>
          <t>Deduplicate raw.game_odds inserts</t>
        </is>
      </c>
      <c r="C48" s="84" t="inlineStr">
        <is>
          <t>Schema / ETL</t>
        </is>
      </c>
      <c r="D48" s="84" t="inlineStr">
        <is>
          <t>Improvement</t>
        </is>
      </c>
      <c r="E48" s="85" t="inlineStr">
        <is>
          <t>P1</t>
        </is>
      </c>
      <c r="F48" s="84" t="inlineStr">
        <is>
          <t>S</t>
        </is>
      </c>
      <c r="G48" s="84" t="inlineStr">
        <is>
          <t>Data Engineer</t>
        </is>
      </c>
      <c r="H48" s="89" t="inlineStr">
        <is>
          <t>Closed</t>
        </is>
      </c>
      <c r="I48" s="84" t="inlineStr">
        <is>
          <t>No</t>
        </is>
      </c>
      <c r="J48" s="84" t="inlineStr">
        <is>
          <t>_persist_odds had no ON CONFLICT; ~360 dup rows per 3-hour game.</t>
        </is>
      </c>
      <c r="K48" s="84" t="inlineStr">
        <is>
          <t>odds_hash SHA-256 column + partial unique index + ON CONFLICT DO NOTHING.</t>
        </is>
      </c>
      <c r="L48" s="84" t="inlineStr">
        <is>
          <t>SIM-084</t>
        </is>
      </c>
      <c r="M48" s="84" t="inlineStr">
        <is>
          <t>Shipped sprint 2026-05-07. PM-accepted 2026-05-07. SIM-094 carries forward backfill.</t>
        </is>
      </c>
    </row>
    <row r="49" ht="23.25" customHeight="1" s="47">
      <c r="A49" s="84" t="inlineStr">
        <is>
          <t>SIM-093</t>
        </is>
      </c>
      <c r="B49" s="84" t="inlineStr">
        <is>
          <t>Create raw.etl_errors + wire into ETL</t>
        </is>
      </c>
      <c r="C49" s="84" t="inlineStr">
        <is>
          <t>Schema / ETL</t>
        </is>
      </c>
      <c r="D49" s="84" t="inlineStr">
        <is>
          <t>Gap</t>
        </is>
      </c>
      <c r="E49" s="85" t="inlineStr">
        <is>
          <t>P1</t>
        </is>
      </c>
      <c r="F49" s="84" t="inlineStr">
        <is>
          <t>S</t>
        </is>
      </c>
      <c r="G49" s="84" t="inlineStr">
        <is>
          <t>Data Engineer</t>
        </is>
      </c>
      <c r="H49" s="89" t="inlineStr">
        <is>
          <t>Closed</t>
        </is>
      </c>
      <c r="I49" s="84" t="inlineStr">
        <is>
          <t>No</t>
        </is>
      </c>
      <c r="J49" s="84" t="inlineStr">
        <is>
          <t>Hard validation errors only logged; no audit trail or reprocessing path.</t>
        </is>
      </c>
      <c r="K49" s="84" t="inlineStr">
        <is>
          <t>Migration 0011 creates raw.etl_errors; _log_etl_errors + reprocess_errored_games.</t>
        </is>
      </c>
      <c r="L49" s="84" t="inlineStr">
        <is>
          <t>SIM-084</t>
        </is>
      </c>
      <c r="M49" s="84" t="inlineStr">
        <is>
          <t>Shipped sprint 2026-05-07. PM-accepted 2026-05-07.</t>
        </is>
      </c>
    </row>
    <row r="50" ht="135.75" customHeight="1" s="47">
      <c r="A50" s="84" t="inlineStr">
        <is>
          <t>SIM-094</t>
        </is>
      </c>
      <c r="B50" s="84" t="inlineStr">
        <is>
          <t>Add directional HR distance columns to derived.park_factors</t>
        </is>
      </c>
      <c r="C50" s="84" t="inlineStr">
        <is>
          <t>Schema / ETL</t>
        </is>
      </c>
      <c r="D50" s="84" t="inlineStr">
        <is>
          <t>Feature</t>
        </is>
      </c>
      <c r="E50" s="85" t="inlineStr">
        <is>
          <t>P1</t>
        </is>
      </c>
      <c r="F50" s="84" t="inlineStr">
        <is>
          <t>M (3–5 days)</t>
        </is>
      </c>
      <c r="G50" s="84" t="inlineStr">
        <is>
          <t>Data Engineer + Baseball Analyst</t>
        </is>
      </c>
      <c r="H50" s="87" t="inlineStr">
        <is>
          <t>Open</t>
        </is>
      </c>
      <c r="I50" s="84" t="inlineStr">
        <is>
          <t>No</t>
        </is>
      </c>
      <c r="J50" s="84" t="inlineStr">
        <is>
          <t>The directional HR model (SIM-055) requires minimum fence distances by spray angle bucket per venue. Current park_factors has no directional columns. BA must confirm spray-angle bucket boundaries before implementation begins.</t>
        </is>
      </c>
      <c r="K50" s="84" t="inlineStr">
        <is>
          <t>1. BA confirms spray-angle bucket boundaries (proposed: pull &lt;-15°, center -15° to 15°, oppo &gt;15° for RHB; mirrored for LHB).
2. Add to derived.park_factors: pull_hr_min_dist_ft FLOAT, center_hr_min_dist_ft FLOAT, oppo_hr_min_dist_ft FLOAT.
3. Add LHB variants: pull_hr_min_dist_ft_vs_l, center_hr_min_dist_ft_vs_l, oppo_hr_min_dist_ft_vs_l.
4. Populate from raw.venues lf_dist, cf_dist, rf_dist using bucket midpoints.
5. Deliver as numbered DuckDB migration file.
6. Sequence after SIM-063 (PRIMARY KEY change must be applied first).</t>
        </is>
      </c>
      <c r="L50" s="84" t="inlineStr">
        <is>
          <t>SIM-063 (park_factors PRIMARY KEY change), SIM-084, Baseball Analyst sign-off</t>
        </is>
      </c>
      <c r="M50" s="84" t="inlineStr">
        <is>
          <t>Blocks SIM-055 (directional HR model in simulation loop).</t>
        </is>
      </c>
    </row>
    <row r="51" ht="135.75" customHeight="1" s="47">
      <c r="A51" s="84" t="inlineStr">
        <is>
          <t>SIM-095</t>
        </is>
      </c>
      <c r="B51" s="84" t="inlineStr">
        <is>
          <t>Implement incremental pitch_pool and outcome_pool rebuild — replace nightly full delete+reinsert</t>
        </is>
      </c>
      <c r="C51" s="84" t="inlineStr">
        <is>
          <t>Schema / ETL</t>
        </is>
      </c>
      <c r="D51" s="84" t="inlineStr">
        <is>
          <t>Improvement</t>
        </is>
      </c>
      <c r="E51" s="88" t="inlineStr">
        <is>
          <t>P2</t>
        </is>
      </c>
      <c r="F51" s="84" t="inlineStr">
        <is>
          <t>M (3–5 days)</t>
        </is>
      </c>
      <c r="G51" s="84" t="inlineStr">
        <is>
          <t>Data Engineer</t>
        </is>
      </c>
      <c r="H51" s="87" t="inlineStr">
        <is>
          <t>Closed</t>
        </is>
      </c>
      <c r="I51" s="84" t="inlineStr">
        <is>
          <t>No</t>
        </is>
      </c>
      <c r="J51" s="84" t="inlineStr">
        <is>
          <t>Nightly full pool rebuild deletes and re-inserts ~700K rows (current season). For a 4-season data set this is 2.8M+ rows, taking ~10 minutes nightly. The incremental path only inserts new rows where game_date &gt; last_built, reducing nightly cost to ~30 seconds.</t>
        </is>
      </c>
      <c r="K51" s="84" t="inlineStr">
        <is>
          <t>1. Add sim.pool_build_metadata table: key VARCHAR PK, value TEXT, updated_at TIMESTAMPTZ.
2. Track last_built_game_date per pool (pitch_pool, outcome_pool, stolen_base_pool).
3. When full_rebuild=False: INSERT only rows with game_date &gt; last_built_game_date; update last_built_game_date on success.
4. Full rebuild path (full_rebuild=True) unchanged.
5. Apply same incremental logic to _build_outcome_pool() and _build_stolen_base_pool().
6. Benchmark: nightly incremental for current season only &lt; 60 seconds.</t>
        </is>
      </c>
      <c r="L51" s="84" t="inlineStr">
        <is>
          <t>SIM-076 (pool_build_metadata table shared for recency weight tracking)</t>
        </is>
      </c>
      <c r="M51" s="84" t="inlineStr">
        <is>
          <t>Operational necessity once historical data grows — without this, nightly batch becomes untenable.</t>
        </is>
      </c>
    </row>
    <row r="52" ht="113.25" customHeight="1" s="47">
      <c r="A52" s="84" t="inlineStr">
        <is>
          <t>SIM-096</t>
        </is>
      </c>
      <c r="B52" s="84" t="inlineStr">
        <is>
          <t>Create SQLAlchemy async models for API-facing tables — db/models/ is empty</t>
        </is>
      </c>
      <c r="C52" s="84" t="inlineStr">
        <is>
          <t>Backend API</t>
        </is>
      </c>
      <c r="D52" s="84" t="inlineStr">
        <is>
          <t>Gap</t>
        </is>
      </c>
      <c r="E52" s="85" t="inlineStr">
        <is>
          <t>P1</t>
        </is>
      </c>
      <c r="F52" s="84" t="inlineStr">
        <is>
          <t>M (3–5 days)</t>
        </is>
      </c>
      <c r="G52" s="84" t="inlineStr">
        <is>
          <t>Data Engineer + Backend Developer</t>
        </is>
      </c>
      <c r="H52" s="87" t="inlineStr">
        <is>
          <t>Open</t>
        </is>
      </c>
      <c r="I52" s="84" t="inlineStr">
        <is>
          <t>No</t>
        </is>
      </c>
      <c r="J52" s="84" t="inlineStr">
        <is>
          <t>db/models/ is empty. The Phase 5 API needs SQLAlchemy async models for the tables its endpoints query. ETL and profile computor continue using psycopg2/asyncpg/DuckDB directly — models are only needed for the API layer.</t>
        </is>
      </c>
      <c r="K52" s="84" t="inlineStr">
        <is>
          <t>1. Create SQLAlchemy async models (sqlalchemy.ext.asyncio) for: raw.games, raw.players, raw.venues, sim.lineup_state, raw.game_odds, raw.prop_odds.
2. db/models/__init__.py exports all model classes.
3. Add type stubs noting that derived.* and sim.* (DuckDB-backed) tables are read-only and accessed via DuckDB directly, not SQLAlchemy.
4. Backend Developer confirms which tables Phase 5 endpoints actually query before models are written.</t>
        </is>
      </c>
      <c r="L52" s="84" t="inlineStr">
        <is>
          <t>SIM-084 (Alembic — models must match migrated schema), SIM-133, SIM-134</t>
        </is>
      </c>
      <c r="M52" s="84" t="inlineStr">
        <is>
          <t>Only needed for API layer. ETL scripts intentionally bypass ORM for performance.</t>
        </is>
      </c>
    </row>
    <row r="53" ht="113.25" customHeight="1" s="47">
      <c r="A53" s="84" t="inlineStr">
        <is>
          <t>SIM-097</t>
        </is>
      </c>
      <c r="B53" s="84" t="inlineStr">
        <is>
          <t>Fix manager concurrent replacement race condition — add SELECT FOR UPDATE row lock</t>
        </is>
      </c>
      <c r="C53" s="84" t="inlineStr">
        <is>
          <t>Schema / ETL</t>
        </is>
      </c>
      <c r="D53" s="84" t="inlineStr">
        <is>
          <t>Bug</t>
        </is>
      </c>
      <c r="E53" s="88" t="inlineStr">
        <is>
          <t>P2</t>
        </is>
      </c>
      <c r="F53" s="84" t="inlineStr">
        <is>
          <t>S (&lt; 1 day)</t>
        </is>
      </c>
      <c r="G53" s="84" t="inlineStr">
        <is>
          <t>Data Engineer</t>
        </is>
      </c>
      <c r="H53" s="87" t="inlineStr">
        <is>
          <t>Open</t>
        </is>
      </c>
      <c r="I53" s="84" t="inlineStr">
        <is>
          <t>No</t>
        </is>
      </c>
      <c r="J53" s="84" t="inlineStr">
        <is>
          <t>In _ensure_managers(), when a new manager is detected, the code issues UPDATE (set season_end on old manager) then INSERT (new manager). Two concurrent workers processing games in parallel may both see the 'manager missing' state and both attempt the UPDATE + INSERT — producing a duplicate key violation or incorrect season_end date.</t>
        </is>
      </c>
      <c r="K53" s="84" t="inlineStr">
        <is>
          <t>1. Wrap UPDATE + INSERT in a single transaction with SELECT ... FOR UPDATE on the existing manager row before updating.
2. The FOR UPDATE lock ensures only one worker proceeds with the manager change.
3. Unit test: simulate two concurrent workers detecting the same missing manager; assert only one manager row is inserted and no duplicate key error occurs.
4. Only relevant for parallel season backfills — serial loads are unaffected.</t>
        </is>
      </c>
      <c r="L53" s="84" t="inlineStr">
        <is>
          <t>None</t>
        </is>
      </c>
      <c r="M53" s="84" t="inlineStr">
        <is>
          <t>Low urgency until parallel backfill is implemented. Deferred to Phase 5 async migration.</t>
        </is>
      </c>
    </row>
    <row r="54" ht="168.75" customHeight="1" s="47">
      <c r="A54" s="84" t="inlineStr">
        <is>
          <t>SIM-098</t>
        </is>
      </c>
      <c r="B54" s="84" t="inlineStr">
        <is>
          <t>Implement pipeline observability baseline: raw.pipeline_run_log, freshness staleness alert, Prometheus counters</t>
        </is>
      </c>
      <c r="C54" s="84" t="inlineStr">
        <is>
          <t>Infrastructure</t>
        </is>
      </c>
      <c r="D54" s="84" t="inlineStr">
        <is>
          <t>Gap</t>
        </is>
      </c>
      <c r="E54" s="85" t="inlineStr">
        <is>
          <t>P1</t>
        </is>
      </c>
      <c r="F54" s="84" t="inlineStr">
        <is>
          <t>M (3–5 days)</t>
        </is>
      </c>
      <c r="G54" s="84" t="inlineStr">
        <is>
          <t>Data Engineer</t>
        </is>
      </c>
      <c r="H54" s="87" t="inlineStr">
        <is>
          <t>Open</t>
        </is>
      </c>
      <c r="I54" s="84" t="inlineStr">
        <is>
          <t>No</t>
        </is>
      </c>
      <c r="J54" s="84" t="inlineStr">
        <is>
          <t>No monitoring infrastructure exists for the data pipeline. A nightly profile computor failure would not alert anyone. For a production betting platform with time-sensitive data freshness requirements, silent failures are unacceptable.</t>
        </is>
      </c>
      <c r="K54" s="84" t="inlineStr">
        <is>
          <t>1. Add raw.pipeline_run_log table: id, pipeline_name, started_at, finished_at, rows_inserted, rows_failed, exit_status CHECK ('success','partial','failed'), error_summary TEXT. Insert at start, update on completion/failure in all pipeline scripts.
2. Staleness check: daily scheduled query raises log.warning if MAX(last_date) in raw.etl_data_freshness is &gt; 2 days old.
3. Prometheus counters in player_profile_computor.py: rows_processed_total (counter), profile_compute_duration_seconds (histogram per step), below_minimum_sample_count (gauge per entity type).
4. Full Grafana dashboard deferred to Phase 7; instrumentation hooks must exist in Phase 5 so the dashboard has data to display.
5. Alembic migration for raw.pipeline_run_log.</t>
        </is>
      </c>
      <c r="L54" s="84" t="inlineStr">
        <is>
          <t>SIM-084 (Alembic)</t>
        </is>
      </c>
      <c r="M54" s="84" t="inlineStr">
        <is>
          <t>Instrumentation hooks must exist in Phase 5 — retrofitting monitoring after Phase 7 deploy is too late.</t>
        </is>
      </c>
    </row>
    <row r="55" ht="23.25" customHeight="1" s="47">
      <c r="A55" s="84" t="inlineStr">
        <is>
          <t>SIM-099</t>
        </is>
      </c>
      <c r="B55" s="84" t="inlineStr">
        <is>
          <t>Fix Redis Key Mismatch (rate-limit fallback)</t>
        </is>
      </c>
      <c r="C55" s="84" t="inlineStr">
        <is>
          <t>Live Pipeline</t>
        </is>
      </c>
      <c r="D55" s="84" t="inlineStr">
        <is>
          <t>Bug</t>
        </is>
      </c>
      <c r="E55" s="85" t="inlineStr">
        <is>
          <t>P1</t>
        </is>
      </c>
      <c r="F55" s="84" t="inlineStr">
        <is>
          <t>S</t>
        </is>
      </c>
      <c r="G55" s="84" t="inlineStr">
        <is>
          <t>Backend Developer</t>
        </is>
      </c>
      <c r="H55" s="89" t="inlineStr">
        <is>
          <t>Closed</t>
        </is>
      </c>
      <c r="I55" s="84" t="inlineStr">
        <is>
          <t>No</t>
        </is>
      </c>
      <c r="J55" s="84" t="inlineStr">
        <is>
          <t>_cache_to_redis wrote game_state:{pk} but _fetch_feed read game_feed:{pk}.</t>
        </is>
      </c>
      <c r="K55" s="84" t="inlineStr">
        <is>
          <t>Both keys now written; second pitcher_id assignment removed.</t>
        </is>
      </c>
      <c r="L55" s="84" t="inlineStr">
        <is>
          <t>None</t>
        </is>
      </c>
      <c r="M55" s="84" t="inlineStr">
        <is>
          <t>Shipped sprint 2026-05-05.</t>
        </is>
      </c>
    </row>
    <row r="56" ht="23.25" customHeight="1" s="47">
      <c r="A56" s="84" t="inlineStr">
        <is>
          <t>SIM-100</t>
        </is>
      </c>
      <c r="B56" s="84" t="inlineStr">
        <is>
          <t>Fix GameStateBuilder roster parsing (4 bugs)</t>
        </is>
      </c>
      <c r="C56" s="84" t="inlineStr">
        <is>
          <t>Live Pipeline</t>
        </is>
      </c>
      <c r="D56" s="84" t="inlineStr">
        <is>
          <t>Bug</t>
        </is>
      </c>
      <c r="E56" s="85" t="inlineStr">
        <is>
          <t>P1</t>
        </is>
      </c>
      <c r="F56" s="84" t="inlineStr">
        <is>
          <t>S</t>
        </is>
      </c>
      <c r="G56" s="84" t="inlineStr">
        <is>
          <t>Backend Developer</t>
        </is>
      </c>
      <c r="H56" s="89" t="inlineStr">
        <is>
          <t>Closed</t>
        </is>
      </c>
      <c r="I56" s="84" t="inlineStr">
        <is>
          <t>No</t>
        </is>
      </c>
      <c r="J56" s="84" t="inlineStr">
        <is>
          <t>N+1 days_rest queries; wrong availability; dead code; wrong date anchor.</t>
        </is>
      </c>
      <c r="K56" s="84" t="inlineStr">
        <is>
          <t>_batch_days_rest single query; corrected availability; game_date param.</t>
        </is>
      </c>
      <c r="L56" s="84" t="inlineStr">
        <is>
          <t>None</t>
        </is>
      </c>
      <c r="M56" s="84" t="inlineStr">
        <is>
          <t>Shipped sprint 2026-05-05.</t>
        </is>
      </c>
    </row>
    <row r="57" ht="23.25" customHeight="1" s="47">
      <c r="A57" s="84" t="inlineStr">
        <is>
          <t>SIM-101</t>
        </is>
      </c>
      <c r="B57" s="84" t="inlineStr">
        <is>
          <t>Per-game GameStateBuilder cache + incremental play history</t>
        </is>
      </c>
      <c r="C57" s="84" t="inlineStr">
        <is>
          <t>Live Pipeline</t>
        </is>
      </c>
      <c r="D57" s="84" t="inlineStr">
        <is>
          <t>Bug</t>
        </is>
      </c>
      <c r="E57" s="85" t="inlineStr">
        <is>
          <t>P1</t>
        </is>
      </c>
      <c r="F57" s="84" t="inlineStr">
        <is>
          <t>M</t>
        </is>
      </c>
      <c r="G57" s="84" t="inlineStr">
        <is>
          <t>Backend Developer</t>
        </is>
      </c>
      <c r="H57" s="89" t="inlineStr">
        <is>
          <t>Closed</t>
        </is>
      </c>
      <c r="I57" s="84" t="inlineStr">
        <is>
          <t>No</t>
        </is>
      </c>
      <c r="J57" s="84" t="inlineStr">
        <is>
          <t>_parse_play_history rebuilt full history every WS message (O(N)).</t>
        </is>
      </c>
      <c r="K57" s="84" t="inlineStr">
        <is>
          <t>Per-game builder cache; incremental parse from last_at_bat_index.</t>
        </is>
      </c>
      <c r="L57" s="84" t="inlineStr">
        <is>
          <t>SIM-099, SIM-100</t>
        </is>
      </c>
      <c r="M57" s="84" t="inlineStr">
        <is>
          <t>Shipped sprint 2026-05-07. PM-accepted 2026-05-07.</t>
        </is>
      </c>
    </row>
    <row r="58" ht="23.25" customHeight="1" s="47">
      <c r="A58" s="84" t="inlineStr">
        <is>
          <t>SIM-102</t>
        </is>
      </c>
      <c r="B58" s="84" t="inlineStr">
        <is>
          <t>Fix _infer_role() opener misclassification</t>
        </is>
      </c>
      <c r="C58" s="84" t="inlineStr">
        <is>
          <t>Live Pipeline</t>
        </is>
      </c>
      <c r="D58" s="84" t="inlineStr">
        <is>
          <t>Bug</t>
        </is>
      </c>
      <c r="E58" s="85" t="inlineStr">
        <is>
          <t>P1</t>
        </is>
      </c>
      <c r="F58" s="84" t="inlineStr">
        <is>
          <t>S</t>
        </is>
      </c>
      <c r="G58" s="84" t="inlineStr">
        <is>
          <t>Backend Developer</t>
        </is>
      </c>
      <c r="H58" s="89" t="inlineStr">
        <is>
          <t>Closed</t>
        </is>
      </c>
      <c r="I58" s="84" t="inlineStr">
        <is>
          <t>No</t>
        </is>
      </c>
      <c r="J58" s="84" t="inlineStr">
        <is>
          <t>IP-only thresholds classified openers as MRP.</t>
        </is>
      </c>
      <c r="K58" s="84" t="inlineStr">
        <is>
          <t>Added Opener bucket using battersFaced; SP -&gt; Opener -&gt; MRP -&gt; RP.</t>
        </is>
      </c>
      <c r="L58" s="84" t="inlineStr">
        <is>
          <t>None</t>
        </is>
      </c>
      <c r="M58" s="84" t="inlineStr">
        <is>
          <t>Shipped sprint 2026-05-07. PM-accepted 2026-05-07. Temporary until SIM-057.</t>
        </is>
      </c>
    </row>
    <row r="59" ht="23.25" customHeight="1" s="47">
      <c r="A59" s="84" t="inlineStr">
        <is>
          <t>SIM-103</t>
        </is>
      </c>
      <c r="B59" s="84" t="inlineStr">
        <is>
          <t>ConnectionManager.broadcast() set snapshot</t>
        </is>
      </c>
      <c r="C59" s="84" t="inlineStr">
        <is>
          <t>Live Pipeline</t>
        </is>
      </c>
      <c r="D59" s="84" t="inlineStr">
        <is>
          <t>Bug</t>
        </is>
      </c>
      <c r="E59" s="85" t="inlineStr">
        <is>
          <t>P1</t>
        </is>
      </c>
      <c r="F59" s="84" t="inlineStr">
        <is>
          <t>S</t>
        </is>
      </c>
      <c r="G59" s="84" t="inlineStr">
        <is>
          <t>Backend Developer</t>
        </is>
      </c>
      <c r="H59" s="89" t="inlineStr">
        <is>
          <t>Closed</t>
        </is>
      </c>
      <c r="I59" s="84" t="inlineStr">
        <is>
          <t>No</t>
        </is>
      </c>
      <c r="J59" s="84" t="inlineStr">
        <is>
          <t>Iteration over live set raised RuntimeError on concurrent connect/disconnect.</t>
        </is>
      </c>
      <c r="K59" s="84" t="inlineStr">
        <is>
          <t>Snapshot via set(live_subs) before iterating.</t>
        </is>
      </c>
      <c r="L59" s="84" t="inlineStr">
        <is>
          <t>None</t>
        </is>
      </c>
      <c r="M59" s="84" t="inlineStr">
        <is>
          <t>Shipped sprint 2026-05-07. PM-accepted 2026-05-07.</t>
        </is>
      </c>
    </row>
    <row r="60" ht="23.25" customHeight="1" s="47">
      <c r="A60" s="84" t="inlineStr">
        <is>
          <t>SIM-104</t>
        </is>
      </c>
      <c r="B60" s="84" t="inlineStr">
        <is>
          <t>Add Redis-based rate limiting to /resimulate</t>
        </is>
      </c>
      <c r="C60" s="84" t="inlineStr">
        <is>
          <t>Live Pipeline</t>
        </is>
      </c>
      <c r="D60" s="84" t="inlineStr">
        <is>
          <t>Improvement</t>
        </is>
      </c>
      <c r="E60" s="85" t="inlineStr">
        <is>
          <t>P1</t>
        </is>
      </c>
      <c r="F60" s="84" t="inlineStr">
        <is>
          <t>S</t>
        </is>
      </c>
      <c r="G60" s="84" t="inlineStr">
        <is>
          <t>Backend Developer</t>
        </is>
      </c>
      <c r="H60" s="89" t="inlineStr">
        <is>
          <t>Closed</t>
        </is>
      </c>
      <c r="I60" s="84" t="inlineStr">
        <is>
          <t>No</t>
        </is>
      </c>
      <c r="J60" s="84" t="inlineStr">
        <is>
          <t>No debouncing on manual resimulate endpoint.</t>
        </is>
      </c>
      <c r="K60" s="84" t="inlineStr">
        <is>
          <t>Per-game Redis cooldown; 429 with retry_after_seconds; SIM-109 envelope.</t>
        </is>
      </c>
      <c r="L60" s="84" t="inlineStr">
        <is>
          <t>Redis lifecycle</t>
        </is>
      </c>
      <c r="M60" s="84" t="inlineStr">
        <is>
          <t>Shipped sprint 2026-05-07. PM-accepted 2026-05-07.</t>
        </is>
      </c>
    </row>
    <row r="61" ht="23.25" customHeight="1" s="47">
      <c r="A61" s="84" t="inlineStr">
        <is>
          <t>SIM-105</t>
        </is>
      </c>
      <c r="B61" s="84" t="inlineStr">
        <is>
          <t>Skip redundant upserts for completed games</t>
        </is>
      </c>
      <c r="C61" s="84" t="inlineStr">
        <is>
          <t>Live Pipeline</t>
        </is>
      </c>
      <c r="D61" s="84" t="inlineStr">
        <is>
          <t>Improvement</t>
        </is>
      </c>
      <c r="E61" s="88" t="inlineStr">
        <is>
          <t>P2</t>
        </is>
      </c>
      <c r="F61" s="84" t="inlineStr">
        <is>
          <t>S</t>
        </is>
      </c>
      <c r="G61" s="84" t="inlineStr">
        <is>
          <t>Backend Developer</t>
        </is>
      </c>
      <c r="H61" s="89" t="inlineStr">
        <is>
          <t>Closed</t>
        </is>
      </c>
      <c r="I61" s="84" t="inlineStr">
        <is>
          <t>No</t>
        </is>
      </c>
      <c r="J61" s="84" t="inlineStr">
        <is>
          <t>_sync_live_games called _upsert for finished games on every poll.</t>
        </is>
      </c>
      <c r="K61" s="84" t="inlineStr">
        <is>
          <t>_completed_games skip set + boot-time hydration from raw.games.</t>
        </is>
      </c>
      <c r="L61" s="84" t="inlineStr">
        <is>
          <t>None</t>
        </is>
      </c>
      <c r="M61" s="84" t="inlineStr">
        <is>
          <t>Shipped sprint 2026-05-07. PM-accepted 2026-05-07.</t>
        </is>
      </c>
    </row>
    <row r="62" ht="23.25" customHeight="1" s="47">
      <c r="A62" s="84" t="inlineStr">
        <is>
          <t>SIM-106</t>
        </is>
      </c>
      <c r="B62" s="84" t="inlineStr">
        <is>
          <t>Enforce async callable type on simulation_callback</t>
        </is>
      </c>
      <c r="C62" s="84" t="inlineStr">
        <is>
          <t>Live Pipeline</t>
        </is>
      </c>
      <c r="D62" s="84" t="inlineStr">
        <is>
          <t>Improvement</t>
        </is>
      </c>
      <c r="E62" s="85" t="inlineStr">
        <is>
          <t>P1</t>
        </is>
      </c>
      <c r="F62" s="84" t="inlineStr">
        <is>
          <t>S</t>
        </is>
      </c>
      <c r="G62" s="84" t="inlineStr">
        <is>
          <t>Backend Developer</t>
        </is>
      </c>
      <c r="H62" s="89" t="inlineStr">
        <is>
          <t>Closed</t>
        </is>
      </c>
      <c r="I62" s="84" t="inlineStr">
        <is>
          <t>No</t>
        </is>
      </c>
      <c r="J62" s="84" t="inlineStr">
        <is>
          <t>Callable | None could be a sync fn; failure was hard to diagnose.</t>
        </is>
      </c>
      <c r="K62" s="84" t="inlineStr">
        <is>
          <t>SimulationCallback type alias + iscoroutinefunction guard at __init__.</t>
        </is>
      </c>
      <c r="L62" s="84" t="inlineStr">
        <is>
          <t>None</t>
        </is>
      </c>
      <c r="M62" s="84" t="inlineStr">
        <is>
          <t>Shipped sprint 2026-05-07. PM-accepted 2026-05-07.</t>
        </is>
      </c>
    </row>
    <row r="63" ht="191.25" customHeight="1" s="47">
      <c r="A63" s="84" t="inlineStr">
        <is>
          <t>SIM-107</t>
        </is>
      </c>
      <c r="B63" s="84" t="inlineStr">
        <is>
          <t>Create tests/unit/test_live_ingestion_pipeline.py — 7 BE bugs, 0% coverage</t>
        </is>
      </c>
      <c r="C63" s="84" t="inlineStr">
        <is>
          <t>Testing</t>
        </is>
      </c>
      <c r="D63" s="84" t="inlineStr">
        <is>
          <t>Bug</t>
        </is>
      </c>
      <c r="E63" s="85" t="inlineStr">
        <is>
          <t>P1</t>
        </is>
      </c>
      <c r="F63" s="84" t="inlineStr">
        <is>
          <t>M (3–5 days)</t>
        </is>
      </c>
      <c r="G63" s="84" t="inlineStr">
        <is>
          <t>Backend Developer + QA/DevOps</t>
        </is>
      </c>
      <c r="H63" s="87" t="inlineStr">
        <is>
          <t>Open</t>
        </is>
      </c>
      <c r="I63" s="84" t="inlineStr">
        <is>
          <t>No</t>
        </is>
      </c>
      <c r="J63" s="84" t="inlineStr">
        <is>
          <t>live_ingestion_pipeline.py has zero test coverage. The BE audit found 7 bugs in this file. All 7 would be caught by basic unit tests. The component handles live game state during MLB games — bugs manifest during production use with no test safety net. All prior BE bug fixes (SIM-099, SIM-100, SIM-101, SIM-102, SIM-103) need permanent regression coverage.</t>
        </is>
      </c>
      <c r="K63" s="84" t="inlineStr">
        <is>
          <t>1. GameStateBuilder.build() with fixture feed dict: assert all required JSONB keys present; assert current_pitcher_id from matchup dict (not offense dict).
2. _infer_role(): parametrize SP (5.1IP), Opener (0.2IP, 10BF), MRP (1.1IP), RP.
3. _should_resimulate(): isComplete=True → True; duplicate at_bat guard → False; non-Live status → False.
4. ConnectionManager.broadcast(): dead connection cleanup; no RuntimeError when disconnect fires during send.
5. _get_days_rest() batch: 12 bullpen pitchers → exactly 1 DB query.
6. Redis key regression: key written by _cache_to_redis() == key read by fallback.
7. Hypothesis property test: random valid feed dict → always produces all required keys.
8. Use AsyncMock for all asyncpg calls; pytest.mark.asyncio. Minimum 40 tests.</t>
        </is>
      </c>
      <c r="L63" s="84" t="inlineStr">
        <is>
          <t>SIM-099, SIM-100, SIM-101, SIM-102, SIM-103 (bugs fixed first), SIM-152 (conftest)</t>
        </is>
      </c>
      <c r="M63" s="84" t="inlineStr">
        <is>
          <t>Most complex component in Phase 2 scope with zero coverage — highest testing priority.</t>
        </is>
      </c>
    </row>
    <row r="64" ht="157.5" customHeight="1" s="47">
      <c r="A64" s="84" t="inlineStr">
        <is>
          <t>SIM-111</t>
        </is>
      </c>
      <c r="B64" s="84" t="inlineStr">
        <is>
          <t>Define play pool query API column contracts before Phase 3 delivery</t>
        </is>
      </c>
      <c r="C64" s="84" t="inlineStr">
        <is>
          <t>Backend API</t>
        </is>
      </c>
      <c r="D64" s="84" t="inlineStr">
        <is>
          <t>Gap</t>
        </is>
      </c>
      <c r="E64" s="85" t="inlineStr">
        <is>
          <t>P1</t>
        </is>
      </c>
      <c r="F64" s="84" t="inlineStr">
        <is>
          <t>S (1–2 days)</t>
        </is>
      </c>
      <c r="G64" s="84" t="inlineStr">
        <is>
          <t>Backend Developer + Data Engineer</t>
        </is>
      </c>
      <c r="H64" s="87" t="inlineStr">
        <is>
          <t>Closed</t>
        </is>
      </c>
      <c r="I64" s="84" t="inlineStr">
        <is>
          <t>No</t>
        </is>
      </c>
      <c r="J64" s="84" t="inlineStr">
        <is>
          <t>The play pool query API (get_pitch_pool(), get_outcome_pool(), get_batted_ball_pool()) has no defined column contract. Phase 4 Steps 2 and 3b sample from DataFrames returned by these functions. Without knowing what columns exist, Phase 4 step implementations will be written against assumed schemas that break at integration time.</t>
        </is>
      </c>
      <c r="K64" s="84" t="inlineStr">
        <is>
          <t>1. Define get_pitch_pool() → DataFrame: [pitch_id, pitcher_id, batter_id, p_throws, stand, velo, ivb, hb, spin_rate, spin_axis, release_x, release_z, release_ext, plate_x, plate_z, zone, season, game_date, recency_weight, combined_weight].
2. Define get_outcome_pool() additions: [exit_velo, launch_angle, spray_angle, pull_relative_spray_angle, bb_type, result_hits, result_outs, result_runs, fielded_by_position, fielding_error_position].
3. Define combined_weight computation: pitcher_similarity × batter_similarity × situation_similarity × recency_weight.
4. Formalise as TypedDict or dataclass in simulator/pool_api.py.
5. PM review and approval before Phase 3 coding begins.</t>
        </is>
      </c>
      <c r="L64" s="84" t="inlineStr">
        <is>
          <t>SIM-076 (recency_weight column must exist)</t>
        </is>
      </c>
      <c r="M64" s="84" t="inlineStr">
        <is>
          <t>Phase 4 cannot be correctly implemented without this contract being locked.</t>
        </is>
      </c>
    </row>
    <row r="65" ht="135.75" customHeight="1" s="47">
      <c r="A65" s="84" t="inlineStr">
        <is>
          <t>SIM-113</t>
        </is>
      </c>
      <c r="B65" s="84" t="inlineStr">
        <is>
          <t>Fix GMM batch pipeline performance: dynamic n_workers, eliminate per-pitcher IPC, batch DuckDB writes</t>
        </is>
      </c>
      <c r="C65" s="84" t="inlineStr">
        <is>
          <t>Performance</t>
        </is>
      </c>
      <c r="D65" s="84" t="inlineStr">
        <is>
          <t>Improvement</t>
        </is>
      </c>
      <c r="E65" s="85" t="inlineStr">
        <is>
          <t>P1</t>
        </is>
      </c>
      <c r="F65" s="84" t="inlineStr">
        <is>
          <t>M (3–5 days)</t>
        </is>
      </c>
      <c r="G65" s="84" t="inlineStr">
        <is>
          <t>Performance Engineer + Data Engineer</t>
        </is>
      </c>
      <c r="H65" s="87" t="inlineStr">
        <is>
          <t>Closed</t>
        </is>
      </c>
      <c r="I65" s="84" t="inlineStr">
        <is>
          <t>No</t>
        </is>
      </c>
      <c r="J65" s="84" t="inlineStr">
        <is>
          <t>Three performance bugs in player_profile_computor.py GMM fitting:
(1) n_workers hardcoded to 8 — over-subscribes 4-core machines.
(2) Per-pitcher IPC overhead: one DataFrame per pitcher sent to workers via pickle (~34s of overhead on a 4-season rebuild).
(3) Per-GMM DuckDB UPDATEs: ~2,800 sequential writes after fitting.
(4) O(N×P) pandas split: season_df filtered per pitcher in a loop.</t>
        </is>
      </c>
      <c r="K65" s="84" t="inlineStr">
        <is>
          <t>1. Restore dynamic worker count: n_workers = max(1, (os.cpu_count() or 2) - 1).
2. Eliminate per-pitcher IPC: pass full season NumPy array + pitcher_id_list to workers; worker splits internally; one round-trip per chunk.
3. Replace per-pitcher UPDATEs with bulk INSERT OR REPLACE using parameterized DuckDB execute (not f-string SQL).
4. Replace per-pitcher pandas filter loop with single season_df.groupby('pitcher_id') call.
5. Benchmark: 4-season full rebuild completes GMM fitting + writing in &lt;= 30 minutes.</t>
        </is>
      </c>
      <c r="L65" s="84" t="inlineStr">
        <is>
          <t>None</t>
        </is>
      </c>
      <c r="M65" s="84" t="inlineStr">
        <is>
          <t>Makes the nightly batch job tractable before it's run against real multi-season data.</t>
        </is>
      </c>
    </row>
    <row r="66" ht="157.5" customHeight="1" s="47">
      <c r="A66" s="84" t="inlineStr">
        <is>
          <t>SIM-114</t>
        </is>
      </c>
      <c r="B66" s="84" t="inlineStr">
        <is>
          <t>FAISS index design spec: IVFFlat, nprobe, pre-filter requirement, and shared memory strategy</t>
        </is>
      </c>
      <c r="C66" s="84" t="inlineStr">
        <is>
          <t>Performance</t>
        </is>
      </c>
      <c r="D66" s="84" t="inlineStr">
        <is>
          <t>Gap</t>
        </is>
      </c>
      <c r="E66" s="85" t="inlineStr">
        <is>
          <t>P1</t>
        </is>
      </c>
      <c r="F66" s="84" t="inlineStr">
        <is>
          <t>M (3–5 days)</t>
        </is>
      </c>
      <c r="G66" s="84" t="inlineStr">
        <is>
          <t>Performance Engineer + ML Engineer</t>
        </is>
      </c>
      <c r="H66" s="87" t="inlineStr">
        <is>
          <t>Closed</t>
        </is>
      </c>
      <c r="I66" s="84" t="inlineStr">
        <is>
          <t>No</t>
        </is>
      </c>
      <c r="J66" s="84" t="inlineStr">
        <is>
          <t>The current spec says 'FAISS flat index' which at 1M rows would produce ~300 seconds per 100-game batch — 10× over SLA. This ticket produces a written design spec (not implementation) that must be locked before Phase 3 builds the indexes.</t>
        </is>
      </c>
      <c r="K66" s="84" t="inlineStr">
        <is>
          <t>1. Index type decision: IVFFlat with nlist=512, nprobe=64 for pitch-to-pitch and batted ball engines. Performance Engineer must benchmark IVFFlat accuracy vs flat on sample pitch vectors before spec is locked.
2. Mandatory pre-filter: pitch pool must be filtered to pitcher_id + batter_handedness before any FAISS query. Document as a hard requirement.
3. Shared memory strategy: FAISS index loaded into multiprocessing.shared_memory at API startup; worker processes attach by name — zero-copy.
4. Memory budget: total RAM for play pool + FAISS indexes &lt;= 2GB regardless of worker count.
5. Spec document approved by PM before Phase 3 coding begins.</t>
        </is>
      </c>
      <c r="L66" s="84" t="inlineStr">
        <is>
          <t>None</t>
        </is>
      </c>
      <c r="M66" s="84" t="inlineStr">
        <is>
          <t>FATAL SLA risk if deferred — wrong choice here makes the 30s target unachievable.</t>
        </is>
      </c>
    </row>
    <row r="67" ht="124.5" customHeight="1" s="47">
      <c r="A67" s="84" t="inlineStr">
        <is>
          <t>SIM-115</t>
        </is>
      </c>
      <c r="B67" s="84" t="inlineStr">
        <is>
          <t>Prune DuckDB sim pool indexes — keep 3 query-path indexes, drop 8 write-overhead indexes</t>
        </is>
      </c>
      <c r="C67" s="84" t="inlineStr">
        <is>
          <t>Schema / ETL</t>
        </is>
      </c>
      <c r="D67" s="84" t="inlineStr">
        <is>
          <t>Improvement</t>
        </is>
      </c>
      <c r="E67" s="85" t="inlineStr">
        <is>
          <t>P1</t>
        </is>
      </c>
      <c r="F67" s="84" t="inlineStr">
        <is>
          <t>S (&lt; 1 day)</t>
        </is>
      </c>
      <c r="G67" s="84" t="inlineStr">
        <is>
          <t>Data Engineer + Performance Engineer</t>
        </is>
      </c>
      <c r="H67" s="87" t="inlineStr">
        <is>
          <t>Closed</t>
        </is>
      </c>
      <c r="I67" s="84" t="inlineStr">
        <is>
          <t>No</t>
        </is>
      </c>
      <c r="J67" s="84" t="inlineStr">
        <is>
          <t>sim.pitch_pool has 11 secondary indexes. DuckDB is a columnar engine with built-in zone maps and Bloom filters — it benefits far less from secondary indexes than PostgreSQL. Most of these indexes will never be used by the play pool query API which pre-filters by pitcher before any pool is materialized as a DataFrame. The 11 indexes add nightly rebuild overhead on a 1M+ row table.</t>
        </is>
      </c>
      <c r="K67" s="84" t="inlineStr">
        <is>
          <t>1. Keep on sim.pitch_pool: idx_pp_pitcher_season (primary access pattern), idx_pp_outcome (filters in_play rows), idx_pp_count (situational pre-filter).
2. Drop: idx_pp_pitcher, idx_pp_batter, idx_pp_season, idx_pp_game_date, idx_pp_batter_season, idx_pp_runners, idx_pp_velo, idx_pp_ivb — all superseded by pitcher pre-filter reducing scan to ~3,000 rows.
3. Apply same analysis to sim.outcome_pool.
4. PE must confirm Phase 3 play pool query access patterns (SIM-111) before finalizing which indexes to keep.
5. Deliver as DuckDB migration file.</t>
        </is>
      </c>
      <c r="L67" s="84" t="inlineStr">
        <is>
          <t>SIM-111 (play pool query contracts must be confirmed first)</t>
        </is>
      </c>
      <c r="M67" s="84" t="inlineStr">
        <is>
          <t>Do not drop indexes until SIM-111 access patterns are confirmed — dropping the wrong index causes a regression.</t>
        </is>
      </c>
    </row>
    <row r="68" ht="157.5" customHeight="1" s="47">
      <c r="A68" s="84" t="inlineStr">
        <is>
          <t>SIM-118</t>
        </is>
      </c>
      <c r="B68" s="84" t="inlineStr">
        <is>
          <t>Create performance benchmark harness — without measurement, SLA targets are estimates</t>
        </is>
      </c>
      <c r="C68" s="84" t="inlineStr">
        <is>
          <t>Performance</t>
        </is>
      </c>
      <c r="D68" s="84" t="inlineStr">
        <is>
          <t>Gap</t>
        </is>
      </c>
      <c r="E68" s="85" t="inlineStr">
        <is>
          <t>P1</t>
        </is>
      </c>
      <c r="F68" s="84" t="inlineStr">
        <is>
          <t>M (3–5 days)</t>
        </is>
      </c>
      <c r="G68" s="84" t="inlineStr">
        <is>
          <t>Performance Engineer</t>
        </is>
      </c>
      <c r="H68" s="87" t="inlineStr">
        <is>
          <t>Closed</t>
        </is>
      </c>
      <c r="I68" s="84" t="inlineStr">
        <is>
          <t>No</t>
        </is>
      </c>
      <c r="J68" s="84" t="inlineStr">
        <is>
          <t>No benchmarking infrastructure exists. All performance estimates from the PE audit are models derived from known Python/FAISS throughput, not measurements on this codebase. The benchmark harness must exist before Phase 4 simulation loop code is written, or performance regressions accumulate invisibly.</t>
        </is>
      </c>
      <c r="K68" s="84" t="inlineStr">
        <is>
          <t>1. Create tests/performance/bench_simulation.py with pytest-benchmark fixtures.
2. Benchmark 1 — Engine query latency: pitcher engine query() p50 &lt;= 5ms, p99 &lt;= 20ms.
3. Benchmark 2 — Arsenal cache lookup: all scores for one query pitcher from 2,400-profile cache &lt;= 0.1ms (validates SIM-075 NumPy slice).
4. Benchmark 3 — GMM fitting: all pitchers for one season &lt;= 10 minutes on CI machine.
5. Benchmark 4 (Phase 4 stub): simulate_game() median &lt;= 2s — add with pytest.mark.skip until Phase 4 exists.
6. Benchmark 5 (Phase 5 stub): run_simulations(n=100) &lt;= 30s — same skip pattern.
7. Add to CI as weekly scheduled job (not per-commit).</t>
        </is>
      </c>
      <c r="L68" s="84" t="inlineStr">
        <is>
          <t>SIM-075 (must be benchmarked after vectorization), SIM-147 (pytest config)</t>
        </is>
      </c>
      <c r="M68" s="84" t="inlineStr">
        <is>
          <t>All PE recommendations are hypothetical until this exists. Build it now, validate Phase 4 later.</t>
        </is>
      </c>
    </row>
    <row r="69" ht="135.75" customHeight="1" s="47">
      <c r="A69" s="84" t="inlineStr">
        <is>
          <t>SIM-119</t>
        </is>
      </c>
      <c r="B69" s="84" t="inlineStr">
        <is>
          <t>Define per-step time budget for the 8-step simulation loop</t>
        </is>
      </c>
      <c r="C69" s="84" t="inlineStr">
        <is>
          <t>Performance</t>
        </is>
      </c>
      <c r="D69" s="84" t="inlineStr">
        <is>
          <t>Gap</t>
        </is>
      </c>
      <c r="E69" s="85" t="inlineStr">
        <is>
          <t>P1</t>
        </is>
      </c>
      <c r="F69" s="84" t="inlineStr">
        <is>
          <t>S (&lt; 1 day)</t>
        </is>
      </c>
      <c r="G69" s="84" t="inlineStr">
        <is>
          <t>Performance Engineer + Backend Developer</t>
        </is>
      </c>
      <c r="H69" s="87" t="inlineStr">
        <is>
          <t>Closed</t>
        </is>
      </c>
      <c r="I69" s="84" t="inlineStr">
        <is>
          <t>No</t>
        </is>
      </c>
      <c r="J69" s="84" t="inlineStr">
        <is>
          <t>The 2s single-game SLA has no per-step budget. Without step budgets, Phase 4 has no way to know if each step is on track during implementation. Each step must have a pytest-benchmark assertion as part of its acceptance criteria.</t>
        </is>
      </c>
      <c r="K69" s="84" t="inlineStr">
        <is>
          <t>1. Lock step budgets (per pitch invocation): Step 1 steal ≤0.05ms · Step 2 pitch selection ≤0.15ms · Step 3a/3b outcome ≤0.15ms · Step 4 fielding ≤0.10ms · Step 5 baserunner ≤0.05ms · Step 6 state update ≤0.05ms · Step 7 manager (end of PA only) ≤0.20ms · Step 8 loop control ≤0.03ms.
2. Total per pitch: ≤0.78ms × 300 pitches = ≤234ms per game iteration → 100 iterations in ≤23.4s (within 30s SLA).
3. Each step implementation in simulator/steps/ must include a pytest-benchmark assertion against its budget.
4. Add benchmarks to the SIM-118 harness as Benchmark Group 3 (simulation step budgets).</t>
        </is>
      </c>
      <c r="L69" s="84" t="inlineStr">
        <is>
          <t>SIM-118 (benchmark harness infrastructure)</t>
        </is>
      </c>
      <c r="M69" s="84" t="inlineStr">
        <is>
          <t>Step budgets convert the 30s SLA from a post-hoc check into a per-step implementation requirement.</t>
        </is>
      </c>
    </row>
    <row r="70" ht="147" customHeight="1" s="47">
      <c r="A70" s="84" t="inlineStr">
        <is>
          <t>SIM-120</t>
        </is>
      </c>
      <c r="B70" s="84" t="inlineStr">
        <is>
          <t>Benchmark ProcessPoolExecutor vs ThreadPoolExecutor for simulation runner before Phase 5 commits</t>
        </is>
      </c>
      <c r="C70" s="84" t="inlineStr">
        <is>
          <t>Performance</t>
        </is>
      </c>
      <c r="D70" s="84" t="inlineStr">
        <is>
          <t>Gap</t>
        </is>
      </c>
      <c r="E70" s="85" t="inlineStr">
        <is>
          <t>P1</t>
        </is>
      </c>
      <c r="F70" s="84" t="inlineStr">
        <is>
          <t>S (1–2 days)</t>
        </is>
      </c>
      <c r="G70" s="84" t="inlineStr">
        <is>
          <t>Performance Engineer + Backend Developer</t>
        </is>
      </c>
      <c r="H70" s="87" t="inlineStr">
        <is>
          <t>Open</t>
        </is>
      </c>
      <c r="I70" s="84" t="inlineStr">
        <is>
          <t>No</t>
        </is>
      </c>
      <c r="J70" s="84" t="inlineStr">
        <is>
          <t>The ProcessPoolExecutor choice is based on the assumption that Python's GIL bottlenecks thread-parallel simulation. FAISS and NumPy both release the GIL during computation. ThreadPoolExecutor may achieve comparable throughput with zero IPC overhead, zero spawn cost, and shared memory automatically. This must be benchmarked on one complete game simulation before Phase 5 commits to an architecture.</t>
        </is>
      </c>
      <c r="K70" s="84" t="inlineStr">
        <is>
          <t>1. Requires Phase 4 simulate_game() to exist before benchmarking.
2. Benchmark ProcessPoolExecutor (n=100): shared memory for play pool and FAISS index, measure throughput and total RAM.
3. Benchmark ThreadPoolExecutor (n=100): threads share heap automatically, no shared memory setup, measure throughput and CPU utilization across cores.
4. Decision rule: if ThreadPoolExecutor achieves &gt;= 80% of ProcessPoolExecutor throughput, prefer threads for operational simplicity.
5. Document benchmark results and architectural decision in simulator/runner.py.</t>
        </is>
      </c>
      <c r="L70" s="84" t="inlineStr">
        <is>
          <t>Phase 4 simulate_game() must be implemented first</t>
        </is>
      </c>
      <c r="M70" s="84" t="inlineStr">
        <is>
          <t>If threads work, eliminates the entire shared memory complexity of the process pool approach.</t>
        </is>
      </c>
    </row>
    <row r="71" ht="168.75" customHeight="1" s="47">
      <c r="A71" s="84" t="inlineStr">
        <is>
          <t>SIM-127</t>
        </is>
      </c>
      <c r="B71" s="84" t="inlineStr">
        <is>
          <t>Define simulation staleness system: last-updated timestamp, amber indicator, loading states, empty states</t>
        </is>
      </c>
      <c r="C71" s="84" t="inlineStr">
        <is>
          <t>Frontend</t>
        </is>
      </c>
      <c r="D71" s="84" t="inlineStr">
        <is>
          <t>Gap</t>
        </is>
      </c>
      <c r="E71" s="85" t="inlineStr">
        <is>
          <t>P1</t>
        </is>
      </c>
      <c r="F71" s="84" t="inlineStr">
        <is>
          <t>M (3–5 days)</t>
        </is>
      </c>
      <c r="G71" s="84" t="inlineStr">
        <is>
          <t>UX Designer + Backend Developer</t>
        </is>
      </c>
      <c r="H71" s="87" t="inlineStr">
        <is>
          <t>Open</t>
        </is>
      </c>
      <c r="I71" s="84" t="inlineStr">
        <is>
          <t>No</t>
        </is>
      </c>
      <c r="J71" s="84" t="inlineStr">
        <is>
          <t>Simulation results on in-progress cards can be up to 60 seconds stale. During a high-leverage inning, stale win% can be off by 40+ percentage points. No staleness indicator, loading state, or per-component empty state is specified. For a betting platform, users must always know whether displayed results are current.</t>
        </is>
      </c>
      <c r="K71" s="84" t="inlineStr">
        <is>
          <t>1. Staleness indicator: every SimulationSummaryCard and WinProbabilityBar displays 'Win probability as of [time]' from simulated_at field. If age &gt; 45s, show amber pulse animation + '(updating...)' text.
2. Loading state: when resim_pending WS message arrives, all simulation components switch to skeleton screen. Resolves when simulation_results WS message arrives.
3. SimulationConfidence component: 'Home 68% ±9% (n=100)' computed from confidence_interval_home/away fields.
4. Empty state matrix: SimulationSummaryCard (sim not run yet) → 'Sim results available ~30 min before first pitch'; ProjectedBoxscore (no lineup) → 'Lineup not yet announced'; LinescoreGraphic (not started) → 9 dash cells; BaseballFieldGraphic (no data) → grey silhouettes + 'TBD'.</t>
        </is>
      </c>
      <c r="L71" s="84" t="inlineStr">
        <is>
          <t>SIM-112 (simulated_at and confidence_interval fields), SIM-125/126 (layout wireframes)</t>
        </is>
      </c>
      <c r="M71" s="84" t="inlineStr">
        <is>
          <t>Betting-critical: users making financial decisions must know the age and reliability of displayed data.</t>
        </is>
      </c>
    </row>
    <row r="72" ht="180" customHeight="1" s="47">
      <c r="A72" s="84" t="inlineStr">
        <is>
          <t>SIM-128</t>
        </is>
      </c>
      <c r="B72" s="84" t="inlineStr">
        <is>
          <t>Redesign override panel as staged-change queue with undo, multi-change, visual indicator system</t>
        </is>
      </c>
      <c r="C72" s="84" t="inlineStr">
        <is>
          <t>Frontend</t>
        </is>
      </c>
      <c r="D72" s="84" t="inlineStr">
        <is>
          <t>Improvement</t>
        </is>
      </c>
      <c r="E72" s="85" t="inlineStr">
        <is>
          <t>P1</t>
        </is>
      </c>
      <c r="F72" s="84" t="inlineStr">
        <is>
          <t>L (1–2 weeks)</t>
        </is>
      </c>
      <c r="G72" s="84" t="inlineStr">
        <is>
          <t>UX Designer</t>
        </is>
      </c>
      <c r="H72" s="87" t="inlineStr">
        <is>
          <t>Open</t>
        </is>
      </c>
      <c r="I72" s="84" t="inlineStr">
        <is>
          <t>No</t>
        </is>
      </c>
      <c r="J72" s="84" t="inlineStr">
        <is>
          <t>The current override spec supports only one substitution at a time with no undo. Real managerial decisions involve multiple simultaneous changes. The visual indicator for override mode is required but not designed. This is the most complex UI component in the entire platform.</t>
        </is>
      </c>
      <c r="K72" s="84" t="inlineStr">
        <is>
          <t>1. Staging area: queue of pending changes before confirmation. Each change listed with player_out → player_in + position + X button to remove.
2. Confirm All: single button submits all staged changes in one POST /simulate/with_override call.
3. Override visual indicator (four rules): (a) full-width amber banner above simulation results; (b) WinProbabilityBar, ProjectedBoxscore, ScoreDistributionChart all have amber left border; (c) page tab shows '(Override)'; (d) state persists until user clicks 'Clear override' — never auto-cleared.
4. Side-by-side comparison: WinProbabilityBar shows two stacked bars — 'Override' (amber) and 'Actual' (team color). ScoreDistributionChart shows overlapping histograms at 30% opacity.
5. Backend: POST /simulate/with_override must accept array of substitutions.</t>
        </is>
      </c>
      <c r="L72" s="84" t="inlineStr">
        <is>
          <t>SIM-109 (multi-substitution API endpoint), SIM-126 (Game Page layout — override drawer position)</t>
        </is>
      </c>
      <c r="M72" s="84" t="inlineStr">
        <is>
          <t>Most complex UI component — must be fully spec'd before Phase 6 Step 6.5 begins.</t>
        </is>
      </c>
    </row>
    <row r="73" ht="168.75" customHeight="1" s="47">
      <c r="A73" s="84" t="inlineStr">
        <is>
          <t>SIM-129</t>
        </is>
      </c>
      <c r="B73" s="84" t="inlineStr">
        <is>
          <t>Add distribution views to ScoreDistributionChart and ProjectedBoxscore — averages lose prop signal</t>
        </is>
      </c>
      <c r="C73" s="84" t="inlineStr">
        <is>
          <t>Frontend</t>
        </is>
      </c>
      <c r="D73" s="84" t="inlineStr">
        <is>
          <t>Improvement</t>
        </is>
      </c>
      <c r="E73" s="85" t="inlineStr">
        <is>
          <t>P1</t>
        </is>
      </c>
      <c r="F73" s="84" t="inlineStr">
        <is>
          <t>M (3–5 days)</t>
        </is>
      </c>
      <c r="G73" s="84" t="inlineStr">
        <is>
          <t>UX Designer + Betting Analyst</t>
        </is>
      </c>
      <c r="H73" s="87" t="inlineStr">
        <is>
          <t>Open</t>
        </is>
      </c>
      <c r="I73" s="84" t="inlineStr">
        <is>
          <t>No</t>
        </is>
      </c>
      <c r="J73" s="84" t="inlineStr">
        <is>
          <t>ScoreDistributionChart shows independent run totals for each team — the joint outcome distribution (who beats whom by how much) is hidden. ProjectedBoxscore shows averages only — for prop betting the distribution is what matters. A pitcher projected at avg 6.2 Ks with range 3-9 has different prop implications than 6.2 Ks with range 5-7.</t>
        </is>
      </c>
      <c r="K73" s="84" t="inlineStr">
        <is>
          <t>1. ScoreDistributionChart — three modes toggled via tab control: (a) Home runs histogram; (b) Away runs histogram; (c) Run Differential histogram (-15 to +15, negative=away wins). Betting Analyst confirms if total runs (for o/u) replaces one.
2. ProjectedBoxscore — distribution display for prop market stats: '6.2 (5–8)' format (avg, p25-p75) for pitcher Ks, batter hits, batter HR. Computed from per-iteration raw lists (SIM-112 extension). Average-only for non-prop stats (AB, RBI, IP, ER).
3. Prop line comparison (Betting Analyst approval required): active prop line shown as vertical marker on distribution; % of simulations above = implied over probability.
4. RBI column: average only, no distribution, tooltip: 'RBI props require lineup context — use with caution.'</t>
        </is>
      </c>
      <c r="L73" s="84" t="inlineStr">
        <is>
          <t>SIM-112 (raw per-iteration lists), SIM-124 (Betting Analyst input on distribution display)</t>
        </is>
      </c>
      <c r="M73" s="84" t="inlineStr">
        <is>
          <t>The core CLV display feature — this is how the platform's prop predictions are validated against markets.</t>
        </is>
      </c>
    </row>
    <row r="74" ht="157.5" customHeight="1" s="47">
      <c r="A74" s="84" t="inlineStr">
        <is>
          <t>SIM-130</t>
        </is>
      </c>
      <c r="B74" s="84" t="inlineStr">
        <is>
          <t>Spec additions for Day Summary page: card lineup collapse, field graphic label rules, date navigation zones</t>
        </is>
      </c>
      <c r="C74" s="84" t="inlineStr">
        <is>
          <t>Frontend</t>
        </is>
      </c>
      <c r="D74" s="84" t="inlineStr">
        <is>
          <t>Bug</t>
        </is>
      </c>
      <c r="E74" s="85" t="inlineStr">
        <is>
          <t>P1</t>
        </is>
      </c>
      <c r="F74" s="84" t="inlineStr">
        <is>
          <t>M (3–5 days)</t>
        </is>
      </c>
      <c r="G74" s="84" t="inlineStr">
        <is>
          <t>UX Designer</t>
        </is>
      </c>
      <c r="H74" s="87" t="inlineStr">
        <is>
          <t>Open</t>
        </is>
      </c>
      <c r="I74" s="84" t="inlineStr">
        <is>
          <t>No</t>
        </is>
      </c>
      <c r="J74" s="84" t="inlineStr">
        <is>
          <t>Three spec gaps in the Day Summary page: (1) the in-progress card with two full lineups is physically unrenderable as a card; (2) the field graphic has no label collision rules or vacancy handling; (3) date navigation has no backward limit or historical mode definition.</t>
        </is>
      </c>
      <c r="K74" s="84" t="inlineStr">
        <is>
          <t>1. In-progress card lineup collapse: lineup panels collapsed behind 'Show Lineups ↓' toggle (default collapsed on Day Summary); expanded by default on Game Page.
2. Field graphic label rules: last name only (max 12 chars, truncated with ellipsis); minimum bounding box per position (infield 80px×20px, outfield 100px×20px); vacant positions show grey silhouette + 'TBD'; accepts actual fielder positions from game state (not fixed icons).
3. Date navigation zones: LIVE (today — full sim + odds); RECENT_HISTORY (yesterday → season start — sim available, odds 'N/A'); HISTORICAL (prior seasons — sim available, odds 'N/A', read-only). Disable navigation past MIN_NAVIGATION_DATE env var (default 2022-04-07). Date picker visually distinguishes the three zones.</t>
        </is>
      </c>
      <c r="L74" s="84" t="inlineStr">
        <is>
          <t>SIM-125 (mobile wireframes), SIM-126 (Game Page layout)</t>
        </is>
      </c>
      <c r="M74" s="84" t="inlineStr">
        <is>
          <t>Spec additions for Phase 6 Steps 6.2 and 6.3 — required before those steps begin implementation.</t>
        </is>
      </c>
    </row>
    <row r="75" ht="157.5" customHeight="1" s="47">
      <c r="A75" s="84" t="inlineStr">
        <is>
          <t>SIM-131</t>
        </is>
      </c>
      <c r="B75" s="84" t="inlineStr">
        <is>
          <t>Define WebSocket live update state machine and play-by-play virtualization requirements</t>
        </is>
      </c>
      <c r="C75" s="84" t="inlineStr">
        <is>
          <t>Frontend</t>
        </is>
      </c>
      <c r="D75" s="84" t="inlineStr">
        <is>
          <t>Gap</t>
        </is>
      </c>
      <c r="E75" s="85" t="inlineStr">
        <is>
          <t>P1</t>
        </is>
      </c>
      <c r="F75" s="84" t="inlineStr">
        <is>
          <t>M (3–5 days)</t>
        </is>
      </c>
      <c r="G75" s="84" t="inlineStr">
        <is>
          <t>UX Designer + Backend Developer</t>
        </is>
      </c>
      <c r="H75" s="87" t="inlineStr">
        <is>
          <t>Open</t>
        </is>
      </c>
      <c r="I75" s="84" t="inlineStr">
        <is>
          <t>No</t>
        </is>
      </c>
      <c r="J75" s="84" t="inlineStr">
        <is>
          <t>No spec defines what happens to page state when live WebSocket updates arrive while the user is viewing a historical play. The play-by-play list has no virtualization spec. A 9-inning game with 400+ list items has rendering performance issues without virtual scrolling.</t>
        </is>
      </c>
      <c r="K75" s="84" t="inlineStr">
        <is>
          <t>1. Live update state machine: (a) if user in replay mode, live updates refresh background state silently — show 'New play: [desc]' badge on play-by-play tab; (b) WS disconnect shows amber connection dot in header, auto-reconnects with exponential backoff (2s base, 60s cap); (c) if override active when resim_pending arrives, auto-resim is suppressed — override re-runs on post-PA live state; (d) game Final transition → animated card state change.
2. Play-by-play virtualization: virtual scrolling, render only visible rows + 10-item overscan. Target: smooth 60fps with 400+ items.
3. Live scroll behavior: 'Jump to live ↓' button appears when scrolled above most recent play. Auto-scroll to new plays only when already at the bottom.</t>
        </is>
      </c>
      <c r="L75" s="84" t="inlineStr">
        <is>
          <t>SIM-109 (WS channel architecture), SIM-126 (Game Page layout)</t>
        </is>
      </c>
      <c r="M75" s="84" t="inlineStr">
        <is>
          <t>Required for Phase 6 Steps 6.3 and 6.4 correctness. WS state machine spec must precede implementation.</t>
        </is>
      </c>
    </row>
    <row r="76" ht="23.25" customHeight="1" s="47">
      <c r="A76" s="84" t="inlineStr">
        <is>
          <t>SIM-132</t>
        </is>
      </c>
      <c r="B76" s="84" t="inlineStr">
        <is>
          <t>Fix MockOddsAPI Zero-Vig + resim doc</t>
        </is>
      </c>
      <c r="C76" s="84" t="inlineStr">
        <is>
          <t>Live Pipeline</t>
        </is>
      </c>
      <c r="D76" s="84" t="inlineStr">
        <is>
          <t>Bug</t>
        </is>
      </c>
      <c r="E76" s="85" t="inlineStr">
        <is>
          <t>P1</t>
        </is>
      </c>
      <c r="F76" s="84" t="inlineStr">
        <is>
          <t>S</t>
        </is>
      </c>
      <c r="G76" s="84" t="inlineStr">
        <is>
          <t>Backend Developer</t>
        </is>
      </c>
      <c r="H76" s="89" t="inlineStr">
        <is>
          <t>Closed</t>
        </is>
      </c>
      <c r="I76" s="84" t="inlineStr">
        <is>
          <t>No</t>
        </is>
      </c>
      <c r="J76" s="84" t="inlineStr">
        <is>
          <t>Implied probs summed to exactly 1.0 (no vig); architecture comment lied.</t>
        </is>
      </c>
      <c r="K76" s="84" t="inlineStr">
        <is>
          <t>vig in [0.06, 0.10]; comment fixed.</t>
        </is>
      </c>
      <c r="L76" s="84" t="inlineStr">
        <is>
          <t>None</t>
        </is>
      </c>
      <c r="M76" s="84" t="inlineStr">
        <is>
          <t>Shipped sprint 2026-05-05. SIM-096 follow-up tightens RNG floor.</t>
        </is>
      </c>
    </row>
    <row r="77" ht="23.25" customHeight="1" s="47">
      <c r="A77" s="84" t="inlineStr">
        <is>
          <t>SIM-133</t>
        </is>
      </c>
      <c r="B77" s="84" t="inlineStr">
        <is>
          <t>Extend raw.game_odds for CLV</t>
        </is>
      </c>
      <c r="C77" s="84" t="inlineStr">
        <is>
          <t>Schema / ETL</t>
        </is>
      </c>
      <c r="D77" s="84" t="inlineStr">
        <is>
          <t>Bug</t>
        </is>
      </c>
      <c r="E77" s="85" t="inlineStr">
        <is>
          <t>P1</t>
        </is>
      </c>
      <c r="F77" s="84" t="inlineStr">
        <is>
          <t>S</t>
        </is>
      </c>
      <c r="G77" s="84" t="inlineStr">
        <is>
          <t>Data Engineer</t>
        </is>
      </c>
      <c r="H77" s="89" t="inlineStr">
        <is>
          <t>Closed</t>
        </is>
      </c>
      <c r="I77" s="84" t="inlineStr">
        <is>
          <t>No</t>
        </is>
      </c>
      <c r="J77" s="84" t="inlineStr">
        <is>
          <t>No line_type / book / market_type / is_sharp_book columns.</t>
        </is>
      </c>
      <c r="K77" s="84" t="inlineStr">
        <is>
          <t>Four CLV columns added via migration 0003 (combined w/ SIM-083).</t>
        </is>
      </c>
      <c r="L77" s="84" t="inlineStr">
        <is>
          <t>SIM-084</t>
        </is>
      </c>
      <c r="M77" s="84" t="inlineStr">
        <is>
          <t>Shipped sprint 2026-05-05.</t>
        </is>
      </c>
    </row>
    <row r="78" ht="23.25" customHeight="1" s="47">
      <c r="A78" s="84" t="inlineStr">
        <is>
          <t>SIM-134</t>
        </is>
      </c>
      <c r="B78" s="84" t="inlineStr">
        <is>
          <t>raw.prop_odds CHECK + MockOddsAPI prop lines</t>
        </is>
      </c>
      <c r="C78" s="84" t="inlineStr">
        <is>
          <t>Schema / ETL</t>
        </is>
      </c>
      <c r="D78" s="84" t="inlineStr">
        <is>
          <t>Gap</t>
        </is>
      </c>
      <c r="E78" s="85" t="inlineStr">
        <is>
          <t>P1</t>
        </is>
      </c>
      <c r="F78" s="84" t="inlineStr">
        <is>
          <t>M</t>
        </is>
      </c>
      <c r="G78" s="84" t="inlineStr">
        <is>
          <t>Data Engineer + Betting Analyst</t>
        </is>
      </c>
      <c r="H78" s="89" t="inlineStr">
        <is>
          <t>Closed</t>
        </is>
      </c>
      <c r="I78" s="84" t="inlineStr">
        <is>
          <t>No</t>
        </is>
      </c>
      <c r="J78" s="84" t="inlineStr">
        <is>
          <t>prop_type had no CHECK; MockOddsAPI had no prop method.</t>
        </is>
      </c>
      <c r="K78" s="84" t="inlineStr">
        <is>
          <t>Migration 0004; 7-value CHECK; MockOddsAPI.get_prop_odds; compound index.</t>
        </is>
      </c>
      <c r="L78" s="84" t="inlineStr">
        <is>
          <t>SIM-083</t>
        </is>
      </c>
      <c r="M78" s="84" t="inlineStr">
        <is>
          <t>Shipped sprint 2026-05-05.</t>
        </is>
      </c>
    </row>
    <row r="79" ht="15" customHeight="1" s="47">
      <c r="A79" s="84" t="inlineStr">
        <is>
          <t>SIM-138</t>
        </is>
      </c>
      <c r="B79" s="84" t="inlineStr">
        <is>
          <t>Nightly Opening Line Ingestion Job</t>
        </is>
      </c>
      <c r="C79" s="84" t="inlineStr">
        <is>
          <t>Live Pipeline</t>
        </is>
      </c>
      <c r="D79" s="84" t="inlineStr">
        <is>
          <t>Gap</t>
        </is>
      </c>
      <c r="E79" s="85" t="inlineStr">
        <is>
          <t>P1</t>
        </is>
      </c>
      <c r="F79" s="84" t="inlineStr">
        <is>
          <t>S</t>
        </is>
      </c>
      <c r="G79" s="84" t="inlineStr">
        <is>
          <t>Data Engineer</t>
        </is>
      </c>
      <c r="H79" s="89" t="inlineStr">
        <is>
          <t>Closed</t>
        </is>
      </c>
      <c r="I79" s="84" t="inlineStr">
        <is>
          <t>No</t>
        </is>
      </c>
      <c r="J79" s="84" t="inlineStr">
        <is>
          <t>Opening lines lost permanently each missing day.</t>
        </is>
      </c>
      <c r="K79" s="84" t="inlineStr">
        <is>
          <t>OpeningLineJob (cron + APScheduler); 7-day lookahead.</t>
        </is>
      </c>
      <c r="L79" s="84" t="inlineStr">
        <is>
          <t>SIM-133, SIM-134</t>
        </is>
      </c>
      <c r="M79" s="84" t="inlineStr">
        <is>
          <t>Shipped sprint 2026-05-05.</t>
        </is>
      </c>
    </row>
    <row r="80" ht="157.5" customHeight="1" s="47">
      <c r="A80" s="84" t="inlineStr">
        <is>
          <t>SIM-139</t>
        </is>
      </c>
      <c r="B80" s="84" t="inlineStr">
        <is>
          <t>Define real odds integration spec: provider, cadence, multi-book hierarchy, prop timing</t>
        </is>
      </c>
      <c r="C80" s="84" t="inlineStr">
        <is>
          <t>Betting Infrastructure</t>
        </is>
      </c>
      <c r="D80" s="84" t="inlineStr">
        <is>
          <t>Gap</t>
        </is>
      </c>
      <c r="E80" s="85" t="inlineStr">
        <is>
          <t>P1</t>
        </is>
      </c>
      <c r="F80" s="84" t="inlineStr">
        <is>
          <t>M (3–5 days)</t>
        </is>
      </c>
      <c r="G80" s="84" t="inlineStr">
        <is>
          <t>Betting Analyst + Data Engineer</t>
        </is>
      </c>
      <c r="H80" s="87" t="inlineStr">
        <is>
          <t>Open</t>
        </is>
      </c>
      <c r="I80" s="84" t="inlineStr">
        <is>
          <t>No</t>
        </is>
      </c>
      <c r="J80" s="84" t="inlineStr">
        <is>
          <t>Phase 7 says 'swap in a real odds provider' with no spec for which provider, cadence, or multi-book methodology. Without this spec in Phase 5, the schema and ingestion architecture won't support CLV measurement when Phase 7 arrives.</t>
        </is>
      </c>
      <c r="K80" s="84" t="inlineStr">
        <is>
          <t>1. Provider recommendation: The Odds API (supports MLB moneylines, run lines, totals, player props; historical odds; multi-book including Pinnacle).
2. Ingestion cadence: opening line at T-6 days (SIM-138); hourly T-24h to T-3h; 5-minute T-3h to T-30min; 1-minute T-30min to first pitch.
3. Multi-book hierarchy: CLV benchmark = Pinnacle (sharpest closing line); edge calculation uses Pinnacle-equivalent implied probability as denominator; is_sharp_book=True for Pinnacle rows.
4. Prop line timing: pitcher props T-2h; batter props T-1h; SGP T-30min.
5. This spec reviewed by Betting Analyst and PM before Phase 7 integration begins.</t>
        </is>
      </c>
      <c r="L80" s="84" t="inlineStr">
        <is>
          <t>SIM-133 (book and line_type columns), SIM-134 (raw.prop_odds table)</t>
        </is>
      </c>
      <c r="M80" s="84" t="inlineStr">
        <is>
          <t>The 'replace one function' comment in live_ingestion_pipeline.py will produce a broken CLV system without this spec.</t>
        </is>
      </c>
    </row>
    <row r="81" ht="191.25" customHeight="1" s="47">
      <c r="A81" s="84" t="inlineStr">
        <is>
          <t>SIM-141</t>
        </is>
      </c>
      <c r="B81" s="84" t="inlineStr">
        <is>
          <t>Create betting/vig_removal.py — define multiplicative vig removal as the platform standard</t>
        </is>
      </c>
      <c r="C81" s="84" t="inlineStr">
        <is>
          <t>Betting Infrastructure</t>
        </is>
      </c>
      <c r="D81" s="84" t="inlineStr">
        <is>
          <t>Gap</t>
        </is>
      </c>
      <c r="E81" s="85" t="inlineStr">
        <is>
          <t>P1</t>
        </is>
      </c>
      <c r="F81" s="84" t="inlineStr">
        <is>
          <t>S (&lt; 1 day)</t>
        </is>
      </c>
      <c r="G81" s="84" t="inlineStr">
        <is>
          <t>Betting Analyst + Backend Developer</t>
        </is>
      </c>
      <c r="H81" s="87" t="inlineStr">
        <is>
          <t>Open</t>
        </is>
      </c>
      <c r="I81" s="84" t="inlineStr">
        <is>
          <t>No</t>
        </is>
      </c>
      <c r="J81" s="84" t="inlineStr">
        <is>
          <t>Three components of the platform compute implied probability from American odds: edge calculation in SimulationResults, CLV computation in bet_log, and the OddsDisplay frontend component (via backend). Without a shared utility, each will implement a different vig removal method, producing inconsistent edge signals.</t>
        </is>
      </c>
      <c r="K81" s="84" t="inlineStr">
        <is>
          <t>1. Create betting/vig_removal.py with: remove_vig_multiplicative(home_ml: int, away_ml: int) → tuple[float, float]. Implementation: convert both to raw implied probs, divide each by sum to normalize. Example: -130/+110 → (0.565, 0.476) → sum 1.041 → vig-removed (0.543, 0.457).
2. Add remove_vig_shin() as documented alternative for heavy favourites (&gt;-200).
3. Add american_to_implied(ml: int) → float (raw, no vig removal).
4. Add implied_to_american(prob: float) → int.
5. This module imported by: betting/clv.py, betting/signal.py, simulation API endpoint (edge fields), MockOddsAPI vig calculation.
6. Unit tests: multiplicative removal produces probs summing to exactly 1.0; Shin produces lower implied prob for heavy favourites than multiplicative.</t>
        </is>
      </c>
      <c r="L81" s="84" t="inlineStr">
        <is>
          <t>None</t>
        </is>
      </c>
      <c r="M81" s="84" t="inlineStr">
        <is>
          <t>Foundational utility — must exist before CLV framework (SIM-136) or edge fields (SIM-112) are implemented.</t>
        </is>
      </c>
    </row>
    <row r="82" ht="124.5" customHeight="1" s="47">
      <c r="A82" s="84" t="inlineStr">
        <is>
          <t>SIM-142</t>
        </is>
      </c>
      <c r="B82" s="84" t="inlineStr">
        <is>
          <t>Spec live betting edge detection — live line ingestion, live edge threshold, WS signal delivery</t>
        </is>
      </c>
      <c r="C82" s="84" t="inlineStr">
        <is>
          <t>Betting Infrastructure</t>
        </is>
      </c>
      <c r="D82" s="84" t="inlineStr">
        <is>
          <t>Gap</t>
        </is>
      </c>
      <c r="E82" s="88" t="inlineStr">
        <is>
          <t>P2</t>
        </is>
      </c>
      <c r="F82" s="84" t="inlineStr">
        <is>
          <t>S (1–2 days)</t>
        </is>
      </c>
      <c r="G82" s="84" t="inlineStr">
        <is>
          <t>Betting Analyst</t>
        </is>
      </c>
      <c r="H82" s="87" t="inlineStr">
        <is>
          <t>Open</t>
        </is>
      </c>
      <c r="I82" s="84" t="inlineStr">
        <is>
          <t>No</t>
        </is>
      </c>
      <c r="J82" s="84" t="inlineStr">
        <is>
          <t>The live simulation (post-PA resim) is uniquely positioned to identify mispriced live lines immediately after significant plays before books adjust. This ticket produces a written spec — not implemented code. Implementation is Phase 7.</t>
        </is>
      </c>
      <c r="K82" s="84" t="inlineStr">
        <is>
          <t>1. Spec deliverable only — written design document, not implemented code.
2. Covers: (a) live line ingestion cadence (fetch after each PA resim); (b) live edge threshold 4% minimum (tighter than 5% pre-game); (c) signal delivery via WS: {type: 'live_edge_signal', edge_pct, side, ml_available}; (d) raw.game_odds impact: live lines stored as line_type='current', no new columns.
3. Sequence: validate pre-game CLV first (SIM-136/SIM-144), then add live edge. Live markets are more efficient; if sim can't beat the pre-game market it cannot beat the live market.</t>
        </is>
      </c>
      <c r="L82" s="84" t="inlineStr">
        <is>
          <t>SIM-136 (pre-game CLV must be validated before live edge is attempted)</t>
        </is>
      </c>
      <c r="M82" s="84" t="inlineStr">
        <is>
          <t>Spec only for Phase 7. Live betting is lower priority than validating pre-game edge first.</t>
        </is>
      </c>
    </row>
    <row r="83" ht="135.75" customHeight="1" s="47">
      <c r="A83" s="84" t="inlineStr">
        <is>
          <t>SIM-143</t>
        </is>
      </c>
      <c r="B83" s="84" t="inlineStr">
        <is>
          <t>CLV dashboard API endpoint: GET /api/betting/clv/summary with segment breakdown</t>
        </is>
      </c>
      <c r="C83" s="84" t="inlineStr">
        <is>
          <t>Betting Infrastructure</t>
        </is>
      </c>
      <c r="D83" s="84" t="inlineStr">
        <is>
          <t>Feature</t>
        </is>
      </c>
      <c r="E83" s="85" t="inlineStr">
        <is>
          <t>P1</t>
        </is>
      </c>
      <c r="F83" s="84" t="inlineStr">
        <is>
          <t>M (3–5 days)</t>
        </is>
      </c>
      <c r="G83" s="84" t="inlineStr">
        <is>
          <t>Backend Developer + Betting Analyst</t>
        </is>
      </c>
      <c r="H83" s="87" t="inlineStr">
        <is>
          <t>Open</t>
        </is>
      </c>
      <c r="I83" s="84" t="inlineStr">
        <is>
          <t>No</t>
        </is>
      </c>
      <c r="J83" s="84" t="inlineStr">
        <is>
          <t>The CLV dashboard is how the platform measures whether it's actually working. Without it, there is no operational visibility into simulation edge quality. This endpoint is the primary instrument panel for validating and monitoring the platform's primary use case.</t>
        </is>
      </c>
      <c r="K83" s="84" t="inlineStr">
        <is>
          <t>1. GET /api/betting/clv/summary accepts: start_date, end_date, market_type, min_signal_reliability query params.
2. Returns: mean_clv, sample_size, win_rate, roi_pct, by_market_type (moneyline/runline/total/prop), by_signal_reliability (LOW/MEDIUM/HIGH), by_prop_stat (strikeouts/hits/home_runs).
3. Each segment: mean_clv, sample_size, win_rate, ECE. Segments with sample_size &lt; 30 return null values with 'insufficient_sample: true'.
4. GET /api/betting/clv/signals: recent bet_log entries for live monitoring.
5. Both endpoints use the standard error envelope (SIM-109).</t>
        </is>
      </c>
      <c r="L83" s="84" t="inlineStr">
        <is>
          <t>SIM-135 (bet_log table), SIM-136 (CLV computation), SIM-109 (API structure)</t>
        </is>
      </c>
      <c r="M83" s="84" t="inlineStr">
        <is>
          <t>This endpoint makes CLV measurable operationally, not just in backtesting.</t>
        </is>
      </c>
    </row>
    <row r="84" ht="23.25" customHeight="1" s="47">
      <c r="A84" s="84" t="inlineStr">
        <is>
          <t>SIM-145</t>
        </is>
      </c>
      <c r="B84" s="84" t="inlineStr">
        <is>
          <t>Docker / CI Infrastructure</t>
        </is>
      </c>
      <c r="C84" s="84" t="inlineStr">
        <is>
          <t>Infrastructure</t>
        </is>
      </c>
      <c r="D84" s="84" t="inlineStr">
        <is>
          <t>Gap</t>
        </is>
      </c>
      <c r="E84" s="85" t="inlineStr">
        <is>
          <t>P1</t>
        </is>
      </c>
      <c r="F84" s="84" t="inlineStr">
        <is>
          <t>L</t>
        </is>
      </c>
      <c r="G84" s="84" t="inlineStr">
        <is>
          <t>Data Engineer + QA/DevOps</t>
        </is>
      </c>
      <c r="H84" s="89" t="inlineStr">
        <is>
          <t>Closed</t>
        </is>
      </c>
      <c r="I84" s="84" t="inlineStr">
        <is>
          <t>No</t>
        </is>
      </c>
      <c r="J84" s="84" t="inlineStr">
        <is>
          <t>Empty requirements.txt, no Dockerfile, no integration tests.</t>
        </is>
      </c>
      <c r="K84" s="84" t="inlineStr">
        <is>
          <t>Dockerfile, docker-compose, Makefile, requirements pinned, integration tests.</t>
        </is>
      </c>
      <c r="L84" s="84" t="inlineStr">
        <is>
          <t>SIM-084</t>
        </is>
      </c>
      <c r="M84" s="84" t="inlineStr">
        <is>
          <t>Shipped sprint 2026-05-05.</t>
        </is>
      </c>
    </row>
    <row r="85" ht="23.25" customHeight="1" s="47">
      <c r="A85" s="84" t="inlineStr">
        <is>
          <t>SIM-146</t>
        </is>
      </c>
      <c r="B85" s="84" t="inlineStr">
        <is>
          <t>GitHub Actions CI Pipeline</t>
        </is>
      </c>
      <c r="C85" s="84" t="inlineStr">
        <is>
          <t>Infrastructure</t>
        </is>
      </c>
      <c r="D85" s="84" t="inlineStr">
        <is>
          <t>Feature</t>
        </is>
      </c>
      <c r="E85" s="85" t="inlineStr">
        <is>
          <t>P1</t>
        </is>
      </c>
      <c r="F85" s="84" t="inlineStr">
        <is>
          <t>M</t>
        </is>
      </c>
      <c r="G85" s="84" t="inlineStr">
        <is>
          <t>QA/DevOps</t>
        </is>
      </c>
      <c r="H85" s="89" t="inlineStr">
        <is>
          <t>Closed</t>
        </is>
      </c>
      <c r="I85" s="84" t="inlineStr">
        <is>
          <t>No</t>
        </is>
      </c>
      <c r="J85" s="84" t="inlineStr">
        <is>
          <t>No .github/workflows/; every push required manual validation.</t>
        </is>
      </c>
      <c r="K85" s="84" t="inlineStr">
        <is>
          <t>.github/workflows/ci.yml + docker-release.yml + integration-weekly.yml.</t>
        </is>
      </c>
      <c r="L85" s="84" t="inlineStr">
        <is>
          <t>SIM-145</t>
        </is>
      </c>
      <c r="M85" s="84" t="inlineStr">
        <is>
          <t>Shipped sprint 2026-05-05.</t>
        </is>
      </c>
    </row>
    <row r="86" ht="15" customHeight="1" s="47">
      <c r="A86" s="84" t="inlineStr">
        <is>
          <t>SIM-147</t>
        </is>
      </c>
      <c r="B86" s="84" t="inlineStr">
        <is>
          <t>Similarity Engine Regression Gate</t>
        </is>
      </c>
      <c r="C86" s="84" t="inlineStr">
        <is>
          <t>Testing</t>
        </is>
      </c>
      <c r="D86" s="84" t="inlineStr">
        <is>
          <t>Feature</t>
        </is>
      </c>
      <c r="E86" s="85" t="inlineStr">
        <is>
          <t>P1</t>
        </is>
      </c>
      <c r="F86" s="84" t="inlineStr">
        <is>
          <t>M</t>
        </is>
      </c>
      <c r="G86" s="84" t="inlineStr">
        <is>
          <t>QA/DevOps</t>
        </is>
      </c>
      <c r="H86" s="89" t="inlineStr">
        <is>
          <t>Closed</t>
        </is>
      </c>
      <c r="I86" s="84" t="inlineStr">
        <is>
          <t>No</t>
        </is>
      </c>
      <c r="J86" s="84" t="inlineStr">
        <is>
          <t>5 new engines had no drift-detection on CI.</t>
        </is>
      </c>
      <c r="K86" s="84" t="inlineStr">
        <is>
          <t>tests/regression/ with 54 tests across 9 classes; golden files.</t>
        </is>
      </c>
      <c r="L86" s="84" t="inlineStr">
        <is>
          <t>SIM-146</t>
        </is>
      </c>
      <c r="M86" s="84" t="inlineStr">
        <is>
          <t>Shipped sprint 2026-05-05.</t>
        </is>
      </c>
    </row>
    <row r="87" ht="34.5" customHeight="1" s="47">
      <c r="A87" s="84" t="inlineStr">
        <is>
          <t>SIM-148</t>
        </is>
      </c>
      <c r="B87" s="84" t="inlineStr">
        <is>
          <t>test_pitcher_similarity vacuous assertion + _score_pair guard</t>
        </is>
      </c>
      <c r="C87" s="84" t="inlineStr">
        <is>
          <t>Testing</t>
        </is>
      </c>
      <c r="D87" s="84" t="inlineStr">
        <is>
          <t>Bug</t>
        </is>
      </c>
      <c r="E87" s="85" t="inlineStr">
        <is>
          <t>P1</t>
        </is>
      </c>
      <c r="F87" s="84" t="inlineStr">
        <is>
          <t>S</t>
        </is>
      </c>
      <c r="G87" s="84" t="inlineStr">
        <is>
          <t>ML Engineer + QA/DevOps</t>
        </is>
      </c>
      <c r="H87" s="89" t="inlineStr">
        <is>
          <t>Closed</t>
        </is>
      </c>
      <c r="I87" s="84" t="inlineStr">
        <is>
          <t>No</t>
        </is>
      </c>
      <c r="J87" s="84" t="inlineStr">
        <is>
          <t>release_score asserts were vacuous; no _score_pair shape regression.</t>
        </is>
      </c>
      <c r="K87" s="84" t="inlineStr">
        <is>
          <t>Removed dead asserts; added 3-tuple regression; doctest sentinel.</t>
        </is>
      </c>
      <c r="L87" s="84" t="inlineStr">
        <is>
          <t>SIM-067</t>
        </is>
      </c>
      <c r="M87" s="84" t="inlineStr">
        <is>
          <t>Shipped sprint 2026-05-07. PM-accepted with documented `len==3` deviation from ticket-text `len==4`.</t>
        </is>
      </c>
    </row>
    <row r="88" ht="135.75" customHeight="1" s="47">
      <c r="A88" s="84" t="inlineStr">
        <is>
          <t>SIM-149</t>
        </is>
      </c>
      <c r="B88" s="84" t="inlineStr">
        <is>
          <t>Create tests/unit/test_baserunner_similarity.py — engine marked complete but untested</t>
        </is>
      </c>
      <c r="C88" s="84" t="inlineStr">
        <is>
          <t>Testing</t>
        </is>
      </c>
      <c r="D88" s="84" t="inlineStr">
        <is>
          <t>Bug</t>
        </is>
      </c>
      <c r="E88" s="85" t="inlineStr">
        <is>
          <t>P1</t>
        </is>
      </c>
      <c r="F88" s="84" t="inlineStr">
        <is>
          <t>M (3–5 days)</t>
        </is>
      </c>
      <c r="G88" s="84" t="inlineStr">
        <is>
          <t>ML Engineer + QA/DevOps</t>
        </is>
      </c>
      <c r="H88" s="87" t="inlineStr">
        <is>
          <t>Closed</t>
        </is>
      </c>
      <c r="I88" s="84" t="inlineStr">
        <is>
          <t>No</t>
        </is>
      </c>
      <c r="J88" s="84" t="inlineStr">
        <is>
          <t>No unit test file exists for baserunner_similarity.py despite the engine being marked complete. Four known bugs have been fixed (SIM-070, SIM-077 sprint speed proxy, SIM-073 analogue for EB_N_PRIOR). None have regression coverage. Phase 2 definition of done requires a passing test file for every engine.</t>
        </is>
      </c>
      <c r="K88" s="84" t="inlineStr">
        <is>
          <t>1. Create tests/unit/test_baserunner_similarity.py using __new__ bypass pattern.
2. Test sprint speed source: measured profile differs in Speed sub-score from null profile.
3. Regression SIM-070: profile with 5 advancement opportunities loads and returns a result (not empty list).
4. Regression SIM-077: faster runner (higher sprint_speed) produces higher Speed sub-score than slower runner with identical Aggression/Success.
5. Standard suite: query symmetry, score bounds [0,1], self-exclusion, cross-season inclusion.
6. Minimum 25 tests. Add to CI phase-2-completion check.</t>
        </is>
      </c>
      <c r="L88" s="84" t="inlineStr">
        <is>
          <t>SIM-070, SIM-077 (bugs must be fixed first)</t>
        </is>
      </c>
      <c r="M88" s="84" t="inlineStr">
        <is>
          <t>Phase 2 cannot be closed without this file.</t>
        </is>
      </c>
    </row>
    <row r="89" ht="113.25" customHeight="1" s="47">
      <c r="A89" s="84" t="inlineStr">
        <is>
          <t>SIM-150</t>
        </is>
      </c>
      <c r="B89" s="84" t="inlineStr">
        <is>
          <t>Extend test_similarity_calibration.py to cover all 5 MLE calibration bugs</t>
        </is>
      </c>
      <c r="C89" s="84" t="inlineStr">
        <is>
          <t>Testing</t>
        </is>
      </c>
      <c r="D89" s="84" t="inlineStr">
        <is>
          <t>Bug</t>
        </is>
      </c>
      <c r="E89" s="85" t="inlineStr">
        <is>
          <t>P1</t>
        </is>
      </c>
      <c r="F89" s="84" t="inlineStr">
        <is>
          <t>S (1–2 days)</t>
        </is>
      </c>
      <c r="G89" s="84" t="inlineStr">
        <is>
          <t>ML Engineer + QA/DevOps</t>
        </is>
      </c>
      <c r="H89" s="87" t="inlineStr">
        <is>
          <t>Closed</t>
        </is>
      </c>
      <c r="I89" s="84" t="inlineStr">
        <is>
          <t>No</t>
        </is>
      </c>
      <c r="J89" s="84" t="inlineStr">
        <is>
          <t>Current calibration tests cover the CalibrationReport data structure and the basic calibrate_sigma() happy path. None of the 5 calibration bugs found in the MLE audit (SIM-066 through SIM-069, SIM-073) have test coverage. These bugs would have been caught in code review if these tests had existed.</t>
        </is>
      </c>
      <c r="K89" s="84" t="inlineStr">
        <is>
          <t>1. Regression SIM-066: 'from similarity_calibration import calibrate_arsenal_gamma' must raise ImportError.
2. Positive SIM-066: calibrate_arsenal_scale() returns value in [3.0, 6.0] on synthetic W2 distribution with known median.
3. Regression SIM-069: mock profile with sample_pa=500 but sample_pa_vs_l=20; assert platoon EB alpha &lt; 0.2.
4. Regression SIM-073: calibrate_eb_prior() on batter-scale data (mean ~500 PA per profile) returns N_prior &gt; 50.
5. Verify CalibrationReport.arsenal_gamma field renamed to arsenal_scale.</t>
        </is>
      </c>
      <c r="L89" s="84" t="inlineStr">
        <is>
          <t>SIM-066, SIM-067, SIM-068, SIM-069, SIM-073 (bugs fixed first)</t>
        </is>
      </c>
      <c r="M89" s="84" t="inlineStr">
        <is>
          <t>Retroactive regression coverage — prevents all 5 calibration bugs from re-appearing.</t>
        </is>
      </c>
    </row>
    <row r="90" ht="157.5" customHeight="1" s="47">
      <c r="A90" s="84" t="inlineStr">
        <is>
          <t>SIM-151</t>
        </is>
      </c>
      <c r="B90" s="84" t="inlineStr">
        <is>
          <t>Add error-path tests to ETL test suite — 163 existing tests are all happy-path</t>
        </is>
      </c>
      <c r="C90" s="84" t="inlineStr">
        <is>
          <t>Testing</t>
        </is>
      </c>
      <c r="D90" s="84" t="inlineStr">
        <is>
          <t>Bug</t>
        </is>
      </c>
      <c r="E90" s="85" t="inlineStr">
        <is>
          <t>P1</t>
        </is>
      </c>
      <c r="F90" s="84" t="inlineStr">
        <is>
          <t>M (3–5 days)</t>
        </is>
      </c>
      <c r="G90" s="84" t="inlineStr">
        <is>
          <t>Data Engineer + QA/DevOps</t>
        </is>
      </c>
      <c r="H90" s="87" t="inlineStr">
        <is>
          <t>Open</t>
        </is>
      </c>
      <c r="I90" s="84" t="inlineStr">
        <is>
          <t>No</t>
        </is>
      </c>
      <c r="J90" s="84" t="inlineStr">
        <is>
          <t>163 pipeline tests cover correct data going in correctly. Zero tests cover incorrect or edge-case data being handled correctly. The DE audit found 8 bugs — none are covered. Tests use testcontainers[postgres] for the PostgreSQL-dependent cases so FK constraints and trigger behavior are tested against real PostgreSQL.</t>
        </is>
      </c>
      <c r="K90" s="84" t="inlineStr">
        <is>
          <t>1. Regression SIM-087: 48 mph pitch → data_quality_flag=FALSE.
2. Regression SIM-083: HistoricalDataLoader init → raw.etl_data_freshness exists.
3. Regression SIM-086: game with missing venue → no FK violation raised, game_pk appears in raw.games with venue_id=NULL.
4. Regression SIM-092: identical odds inserted twice → only one row in raw.game_odds.
5. Mark testcontainer-based tests with @pytest.mark.integration so 'pytest tests/unit/' (fast) still works independently.
6. Add to CI weekly integration job (not per-commit — testcontainer startup adds ~30s).</t>
        </is>
      </c>
      <c r="L90" s="84" t="inlineStr">
        <is>
          <t>SIM-082, SIM-083, SIM-086, SIM-087, SIM-092 (bugs fixed first)</t>
        </is>
      </c>
      <c r="M90" s="84" t="inlineStr">
        <is>
          <t>Error-path tests are where production systems fail — these must exist.</t>
        </is>
      </c>
    </row>
    <row r="91" ht="135.75" customHeight="1" s="47">
      <c r="A91" s="84" t="inlineStr">
        <is>
          <t>SIM-152</t>
        </is>
      </c>
      <c r="B91" s="84" t="inlineStr">
        <is>
          <t>Create tests/conftest.py with shared fixtures — eliminate 3× duplicated profile builders</t>
        </is>
      </c>
      <c r="C91" s="84" t="inlineStr">
        <is>
          <t>Testing</t>
        </is>
      </c>
      <c r="D91" s="84" t="inlineStr">
        <is>
          <t>Improvement</t>
        </is>
      </c>
      <c r="E91" s="88" t="inlineStr">
        <is>
          <t>P2</t>
        </is>
      </c>
      <c r="F91" s="84" t="inlineStr">
        <is>
          <t>S (1–2 days)</t>
        </is>
      </c>
      <c r="G91" s="84" t="inlineStr">
        <is>
          <t>QA/DevOps</t>
        </is>
      </c>
      <c r="H91" s="87" t="inlineStr">
        <is>
          <t>Open</t>
        </is>
      </c>
      <c r="I91" s="84" t="inlineStr">
        <is>
          <t>No</t>
        </is>
      </c>
      <c r="J91" s="84" t="inlineStr">
        <is>
          <t>Each of the three similarity test files re-implements its own _make_profile(), _make_gmm(), _build_synthetic_engine() helpers. No conftest.py exists at any level of the test tree. When new engines are added (catcher, pitcher-steal), developers must read all files and re-implement from scratch.</t>
        </is>
      </c>
      <c r="K91" s="84" t="inlineStr">
        <is>
          <t>1. Create tests/conftest.py with session-scoped fixtures for all built engines.
2. Create tests/unit/conftest.py with __new__ bypass pattern documented as the project-standard constructor bypass (one canonical implementation).
3. Refactor test_pitcher_similarity.py, test_batter_similarity.py, test_fielder_similarity.py to import from conftest (setup drops from ~100 to ~10 lines).
4. test_baserunner_similarity.py (SIM-149) and test_live_ingestion_pipeline.py (SIM-107) must use conftest fixtures — do not introduce more independent implementations.</t>
        </is>
      </c>
      <c r="L91" s="84" t="inlineStr">
        <is>
          <t>SIM-147 (pyproject.toml), SIM-071 (import paths)</t>
        </is>
      </c>
      <c r="M91" s="84" t="inlineStr">
        <is>
          <t>Maintenance improvement — the pattern is correct, it just needs to be centralized.</t>
        </is>
      </c>
    </row>
    <row r="92" ht="23.25" customHeight="1" s="47">
      <c r="A92" s="84" t="inlineStr">
        <is>
          <t>SIM-153</t>
        </is>
      </c>
      <c r="B92" s="84" t="inlineStr">
        <is>
          <t>Secrets management baseline</t>
        </is>
      </c>
      <c r="C92" s="84" t="inlineStr">
        <is>
          <t>Infrastructure</t>
        </is>
      </c>
      <c r="D92" s="84" t="inlineStr">
        <is>
          <t>Gap</t>
        </is>
      </c>
      <c r="E92" s="85" t="inlineStr">
        <is>
          <t>P1</t>
        </is>
      </c>
      <c r="F92" s="84" t="inlineStr">
        <is>
          <t>S</t>
        </is>
      </c>
      <c r="G92" s="84" t="inlineStr">
        <is>
          <t>QA/DevOps + Backend Developer</t>
        </is>
      </c>
      <c r="H92" s="89" t="inlineStr">
        <is>
          <t>Closed</t>
        </is>
      </c>
      <c r="I92" s="84" t="inlineStr">
        <is>
          <t>No</t>
        </is>
      </c>
      <c r="J92" s="84" t="inlineStr">
        <is>
          <t>Bare DSN strings; no env-var pattern; no startup validation; no CI secret check.</t>
        </is>
      </c>
      <c r="K92" s="84" t="inlineStr">
        <is>
          <t>validate_environment + env-fallback DSN + CI secrets-check job.</t>
        </is>
      </c>
      <c r="L92" s="84" t="inlineStr">
        <is>
          <t>SIM-145</t>
        </is>
      </c>
      <c r="M92" s="84" t="inlineStr">
        <is>
          <t>Shipped sprint 2026-05-07. PM-accepted 2026-05-07.</t>
        </is>
      </c>
    </row>
    <row r="93" ht="113.25" customHeight="1" s="47">
      <c r="A93" s="84" t="inlineStr">
        <is>
          <t>SIM-154</t>
        </is>
      </c>
      <c r="B93" s="84" t="inlineStr">
        <is>
          <t>Add model regression gate to CI — run diagnostics on every PR; fail on calibration drift</t>
        </is>
      </c>
      <c r="C93" s="84" t="inlineStr">
        <is>
          <t>Testing</t>
        </is>
      </c>
      <c r="D93" s="84" t="inlineStr">
        <is>
          <t>Gap</t>
        </is>
      </c>
      <c r="E93" s="85" t="inlineStr">
        <is>
          <t>P1</t>
        </is>
      </c>
      <c r="F93" s="84" t="inlineStr">
        <is>
          <t>S (1–2 days)</t>
        </is>
      </c>
      <c r="G93" s="84" t="inlineStr">
        <is>
          <t>QA/DevOps</t>
        </is>
      </c>
      <c r="H93" s="87" t="inlineStr">
        <is>
          <t>Open</t>
        </is>
      </c>
      <c r="I93" s="84" t="inlineStr">
        <is>
          <t>No</t>
        </is>
      </c>
      <c r="J93" s="84" t="inlineStr">
        <is>
          <t>similarity_diagnostics.py already exits with code 1 on diagnostic flags — it just needs to be wired into CI. When SIM-072 (pitcher RBF upgrade) or SIM-073 (EB_N_PRIOR change) shift engine score distributions, this gate catches any unexpected drift immediately on the PR.</t>
        </is>
      </c>
      <c r="K93" s="84" t="inlineStr">
        <is>
          <t>1. Add CI Job 3 (from SIM-146): on PR to main, run 'python similarity/similarity_diagnostics.py'; fail if exit code != 0.
2. Add --json-report tests/regression/latest_diagnostics.json flag to diagnostics CLI.
3. After each clean run, update tests/regression/engine_baselines.json.
4. CI fails if any engine median score shifts &gt; ±0.05 from baseline OR n_flags increases.
5. Prerequisites: SIM-050 (fielder diagnostics merged into CLI) must be complete.</t>
        </is>
      </c>
      <c r="L93" s="84" t="inlineStr">
        <is>
          <t>SIM-050 (fielder diagnostics merged), SIM-146 (CI exists), SIM-147 (pytest config)</t>
        </is>
      </c>
      <c r="M93" s="84" t="inlineStr">
        <is>
          <t>Prevents the most expensive class of bugs — silent calibration drift from engine changes.</t>
        </is>
      </c>
    </row>
    <row r="94" ht="168.75" customHeight="1" s="47">
      <c r="A94" s="84" t="inlineStr">
        <is>
          <t>SIM-155</t>
        </is>
      </c>
      <c r="B94" s="84" t="inlineStr">
        <is>
          <t>Create integration test suite — minimum viable ETL→profiles→engine cross-component flow</t>
        </is>
      </c>
      <c r="C94" s="84" t="inlineStr">
        <is>
          <t>Testing</t>
        </is>
      </c>
      <c r="D94" s="84" t="inlineStr">
        <is>
          <t>Gap</t>
        </is>
      </c>
      <c r="E94" s="85" t="inlineStr">
        <is>
          <t>P1</t>
        </is>
      </c>
      <c r="F94" s="84" t="inlineStr">
        <is>
          <t>L (1–2 weeks)</t>
        </is>
      </c>
      <c r="G94" s="84" t="inlineStr">
        <is>
          <t>QA/DevOps + Data Engineer</t>
        </is>
      </c>
      <c r="H94" s="87" t="inlineStr">
        <is>
          <t>Open</t>
        </is>
      </c>
      <c r="I94" s="84" t="inlineStr">
        <is>
          <t>No</t>
        </is>
      </c>
      <c r="J94" s="84" t="inlineStr">
        <is>
          <t>tests/integration/ is empty. Every cross-component interaction is untested. The DE audit found bugs that only manifest at integration boundaries (freshness table DDL never executed, lineup_state ON CONFLICT crash) — these require real PostgreSQL to reproduce and are missed by unit tests with mocked DB calls.</t>
        </is>
      </c>
      <c r="K94" s="84" t="inlineStr">
        <is>
          <t>1. Use testcontainers to spin up ephemeral PostgreSQL + Redis per session.
2. Test 1 — ETL to profiles: load 50 synthetic Statcast games via HistoricalDataLoader; run PlayerProfileComputor.run(seasons=[2024]); assert derived.pitcher_season_metrics has &gt;= 1 row with non-null gmm_model.
3. Test 2 — Live pipeline upsert: mock MLB API responses; run _refresh_game_state(); assert sim.lineup_state receives a row (SIM-082 e2e).
4. Test 3 — Schema migrations: apply all Alembic migrations to fresh DB; assert all expected tables exist; alembic current returns head revision.
5. All tests marked @pytest.mark.integration. Run in CI weekly and on PR to main.</t>
        </is>
      </c>
      <c r="L94" s="84" t="inlineStr">
        <is>
          <t>SIM-145 (Docker), SIM-084 (Alembic), SIM-082/083 (bugs fixed)</t>
        </is>
      </c>
      <c r="M94" s="84" t="inlineStr">
        <is>
          <t>Must be complete before Phase 3 play pool architecture builds on top of the pipeline chain.</t>
        </is>
      </c>
    </row>
    <row r="95" ht="157.5" customHeight="1" s="47">
      <c r="A95" s="84" t="inlineStr">
        <is>
          <t>SIM-156</t>
        </is>
      </c>
      <c r="B95" s="84" t="inlineStr">
        <is>
          <t>Create schema contract tests — assert engine feature names map to DuckDB schema columns</t>
        </is>
      </c>
      <c r="C95" s="84" t="inlineStr">
        <is>
          <t>Testing</t>
        </is>
      </c>
      <c r="D95" s="84" t="inlineStr">
        <is>
          <t>Gap</t>
        </is>
      </c>
      <c r="E95" s="85" t="inlineStr">
        <is>
          <t>P1</t>
        </is>
      </c>
      <c r="F95" s="84" t="inlineStr">
        <is>
          <t>S (1–2 days)</t>
        </is>
      </c>
      <c r="G95" s="84" t="inlineStr">
        <is>
          <t>QA/DevOps + Data Engineer</t>
        </is>
      </c>
      <c r="H95" s="87" t="inlineStr">
        <is>
          <t>Open</t>
        </is>
      </c>
      <c r="I95" s="84" t="inlineStr">
        <is>
          <t>No</t>
        </is>
      </c>
      <c r="J95" s="84" t="inlineStr">
        <is>
          <t>No tests verify that the DuckDB schema columns the profile computor writes match the feature list each engine expects to read. The barrel_rate/avg_launch_angle gap and the catcher schema gaps would both be caught by static schema contract tests. These are fast tests requiring no database — just DDL parsing and engine introspection.</t>
        </is>
      </c>
      <c r="K95" s="84" t="inlineStr">
        <is>
          <t>1. Create tests/unit/test_schema_contracts.py.
2. Load 02_duckdb_schema.sql as a string; extract column names for each derived.* table using CREATE TABLE block parsing.
3. For each engine, assert all feature names exist as columns in the corresponding derived.* table: batter features → batter_season_metrics, pitcher features → pitcher_season_metrics, fielder → fielder_season_metrics, baserunner → baserunner_season_metrics.
4. Tests are static (no DB required) and must run in &lt; 1 second.
5. These tests catch: future feature added to engine but not to profile computor, column renamed in schema but not in engine, new barrel_rate-style gaps.</t>
        </is>
      </c>
      <c r="L95" s="84" t="inlineStr">
        <is>
          <t>SIM-071 (consistent import paths to engine feature lists), SIM-147</t>
        </is>
      </c>
      <c r="M95" s="84" t="inlineStr">
        <is>
          <t>Static tests — extremely cheap to run and catch an entire class of subtle bugs.</t>
        </is>
      </c>
    </row>
    <row r="96" ht="135.75" customHeight="1" s="47">
      <c r="A96" s="84" t="inlineStr">
        <is>
          <t>SIM-200</t>
        </is>
      </c>
      <c r="B96" s="84" t="inlineStr">
        <is>
          <t>Step 3b: Catcher Framing Bias on Shadow-Zone Takes</t>
        </is>
      </c>
      <c r="C96" s="84" t="inlineStr">
        <is>
          <t>Phase 4 placeholder</t>
        </is>
      </c>
      <c r="D96" s="84" t="inlineStr">
        <is>
          <t>Phase 4 design constraint</t>
        </is>
      </c>
      <c r="E96" s="85" t="inlineStr">
        <is>
          <t>P1</t>
        </is>
      </c>
      <c r="F96" s="84" t="inlineStr">
        <is>
          <t>S (when Phase 4 lands)</t>
        </is>
      </c>
      <c r="G96" s="84" t="inlineStr">
        <is>
          <t>Backend Developer + ML Engineer + Baseball Analyst</t>
        </is>
      </c>
      <c r="H96" s="90" t="inlineStr">
        <is>
          <t>Held</t>
        </is>
      </c>
      <c r="I96" s="84" t="inlineStr">
        <is>
          <t>Yes</t>
        </is>
      </c>
      <c r="J96" s="84" t="inlineStr">
        <is>
          <t>When Step 3b is built, the called-strike vs called-ball decision must incorporate catcher framing skill scoped to the shadow zone.</t>
        </is>
      </c>
      <c r="K96" s="84" t="inlineStr">
        <is>
          <t>1. Framing bias only on shadow-zone takes (p in [0.20, 0.80]).
2. Heart and chase zones bypass framing.
3. Logit-space adjustment from strike_rate_vs_expected.
4. Bias bounded; baseline 0.50 cannot exceed [0.30, 0.70].
5. Validation gate: top vs bottom decile framer K-rate differs by 0.3-0.8 K/game.
6. Validation gate: BB-rate inverse (0.2-0.5 more BB for bottom-decile).
7. PlayResult exposes catcher_framing_delta.
8. Walk-forward backtest: framing-on K-prop has lower MAE than baseline.</t>
        </is>
      </c>
      <c r="L96" s="84" t="inlineStr">
        <is>
          <t>Phase 4 simulation loop scaffolding</t>
        </is>
      </c>
      <c r="M96" s="84" t="inlineStr">
        <is>
          <t>Forward-looking placeholder; do NOT ship standalone.</t>
        </is>
      </c>
    </row>
    <row r="97" ht="147" customHeight="1" s="47">
      <c r="A97" s="84" t="inlineStr">
        <is>
          <t>SIM-201</t>
        </is>
      </c>
      <c r="B97" s="84" t="inlineStr">
        <is>
          <t>Step 3b: Catcher Blocking Coefficient on Dirt-Pitch Outcomes</t>
        </is>
      </c>
      <c r="C97" s="84" t="inlineStr">
        <is>
          <t>Phase 4 placeholder</t>
        </is>
      </c>
      <c r="D97" s="84" t="inlineStr">
        <is>
          <t>Phase 4 design constraint</t>
        </is>
      </c>
      <c r="E97" s="85" t="inlineStr">
        <is>
          <t>P1</t>
        </is>
      </c>
      <c r="F97" s="84" t="inlineStr">
        <is>
          <t>S (when Phase 4 lands)</t>
        </is>
      </c>
      <c r="G97" s="84" t="inlineStr">
        <is>
          <t>Backend Developer + ML Engineer + Baseball Analyst</t>
        </is>
      </c>
      <c r="H97" s="90" t="inlineStr">
        <is>
          <t>Held</t>
        </is>
      </c>
      <c r="I97" s="84" t="inlineStr">
        <is>
          <t>Yes</t>
        </is>
      </c>
      <c r="J97" s="84" t="inlineStr">
        <is>
          <t>When Step 3b resolves to ball-in-dirt with runner(s) on, catcher blocking skill must influence WP/PB probability and runner advancement.</t>
        </is>
      </c>
      <c r="K97" s="84" t="inlineStr">
        <is>
          <t>1. Blocking coefficient applies only when runner on AND dirt context.
2. Catcher block_rate_in_dirt vs league avg multiplied against base WP/PB prob.
3. WP vs PB classification by 'unblockable by avg catcher' (pitcher) vs 'should have been blocked' (catcher).
4. Baserunner advancement via existing Step 5 logic.
5. Validation: ER differential 0.05-0.15 ER/game between elite/bottom-decile.
6. Validation: combined WP+PB matches league rate (~1.0-1.5/game) +/-10%.
7. PlayResult exposes block_event_type and runners_advanced_on_block.</t>
        </is>
      </c>
      <c r="L97" s="84" t="inlineStr">
        <is>
          <t>Phase 4 simulation loop scaffolding</t>
        </is>
      </c>
      <c r="M97" s="84" t="inlineStr">
        <is>
          <t>Forward-looking placeholder; do NOT ship standalone.</t>
        </is>
      </c>
    </row>
    <row r="98" ht="124.5" customHeight="1" s="47">
      <c r="A98" s="84" t="inlineStr">
        <is>
          <t>SIM-157</t>
        </is>
      </c>
      <c r="B98" s="84" t="inlineStr">
        <is>
          <t>Backfill legacy odds_hash + dedup pass on raw.game_odds</t>
        </is>
      </c>
      <c r="C98" s="84" t="inlineStr">
        <is>
          <t>Schema / ETL</t>
        </is>
      </c>
      <c r="D98" s="84" t="inlineStr">
        <is>
          <t>Improvement</t>
        </is>
      </c>
      <c r="E98" s="85" t="inlineStr">
        <is>
          <t>P1</t>
        </is>
      </c>
      <c r="F98" s="84" t="inlineStr">
        <is>
          <t>S (1–2 days)</t>
        </is>
      </c>
      <c r="G98" s="84" t="inlineStr">
        <is>
          <t>Data Engineer</t>
        </is>
      </c>
      <c r="H98" s="86" t="inlineStr">
        <is>
          <t>Shipped 2026-05-14 (sprint 2026-05-13)</t>
        </is>
      </c>
      <c r="I98" s="84" t="inlineStr">
        <is>
          <t>No</t>
        </is>
      </c>
      <c r="J98" s="84" t="inlineStr">
        <is>
          <t>SIM-092 added odds_hash + partial unique index but only enforces going forward. Pre-SIM-092 rows have NULL odds_hash and contain duplicates, inflating CLV row counts and slowing scans.</t>
        </is>
      </c>
      <c r="K98" s="84" t="inlineStr">
        <is>
          <t>1. scripts/backfill_odds_hash.py: compute odds_hash for every NULL row via LiveIngestionPipeline._odds_hash(); write back in 10k batches; report duplicate-detection stats.
2. DELETE keeps earliest row per (game_pk, source, odds_hash) group.
3. Promote partial unique index to a FULL unique index via Alembic 0012.
4. Validation: zero NULL hashes; zero duplicate (game_pk, source, hash) groups.
5. PR description includes row counts before/after for measurable storage win.</t>
        </is>
      </c>
      <c r="L98" s="84" t="inlineStr">
        <is>
          <t>SIM-092 (column + index already shipped)</t>
        </is>
      </c>
      <c r="M98" s="84" t="inlineStr">
        <is>
          <t>Created 2026-05-08 from SIM-092 carry-forward. Renumbered from SIM-094 to avoid collision with the existing Phase 2 polish ticket.</t>
        </is>
      </c>
    </row>
    <row r="99" ht="135.75" customHeight="1" s="47">
      <c r="A99" s="84" t="inlineStr">
        <is>
          <t>SIM-158</t>
        </is>
      </c>
      <c r="B99" s="84" t="inlineStr">
        <is>
          <t>Run EXPLAIN ANALYZE acceptance gates for SIM-085 + SIM-089</t>
        </is>
      </c>
      <c r="C99" s="84" t="inlineStr">
        <is>
          <t>Performance</t>
        </is>
      </c>
      <c r="D99" s="84" t="inlineStr">
        <is>
          <t>Validation</t>
        </is>
      </c>
      <c r="E99" s="85" t="inlineStr">
        <is>
          <t>P1</t>
        </is>
      </c>
      <c r="F99" s="84" t="inlineStr">
        <is>
          <t>S (1–2 days)</t>
        </is>
      </c>
      <c r="G99" s="84" t="inlineStr">
        <is>
          <t>Performance Engineer</t>
        </is>
      </c>
      <c r="H99" s="86" t="inlineStr">
        <is>
          <t>Shipped 2026-05-14 (sprint 2026-05-13)</t>
        </is>
      </c>
      <c r="I99" s="84" t="inlineStr">
        <is>
          <t>No</t>
        </is>
      </c>
      <c r="J99" s="84" t="inlineStr">
        <is>
          <t>SIM-085 (composite situation index) and SIM-089 ((pitcher, season) partial index) shipped with their acceptance gates expressed but not executed — sandbox lacked a populated DB. Once a 2024 staging DB exists, run the gates and record results.</t>
        </is>
      </c>
      <c r="K99" s="84" t="inlineStr">
        <is>
          <t>1. SIM-085: EXPLAIN (ANALYZE, BUFFERS) on a representative situation lookup reports Index Scan using idx_pitches_situation; &lt;30 ms.
2. SIM-089: EXPLAIN on _compute_pitcher_profiles primary fetch reports Index Scan using idx_pitches_pitcher_season_clean; &lt;50 ms for 3,000-pitch fetch.
3. Markdown report at docs/perf/2026-05-13-index-acceptance.md, linked from the SIM-085 / SIM-089 entries in CHANGES.md.
4. If either index loses to Seq Scan, file a follow-up + revert claim.</t>
        </is>
      </c>
      <c r="L99" s="84" t="inlineStr">
        <is>
          <t>SIM-085, SIM-089, populated 2024 staging DB</t>
        </is>
      </c>
      <c r="M99" s="84" t="inlineStr">
        <is>
          <t>Created 2026-05-08 from PM acceptance review. Renumbered from SIM-095 to avoid collision with the existing pitch_pool incremental ticket.</t>
        </is>
      </c>
    </row>
    <row r="100" ht="79.5" customHeight="1" s="47">
      <c r="A100" s="84" t="inlineStr">
        <is>
          <t>SIM-159</t>
        </is>
      </c>
      <c r="B100" s="84" t="inlineStr">
        <is>
          <t>Tighten SIM-132 vig RNG so moneyline boundary test is no longer flaky</t>
        </is>
      </c>
      <c r="C100" s="84" t="inlineStr">
        <is>
          <t>Live Pipeline</t>
        </is>
      </c>
      <c r="D100" s="84" t="inlineStr">
        <is>
          <t>Bug</t>
        </is>
      </c>
      <c r="E100" s="85" t="inlineStr">
        <is>
          <t>P1</t>
        </is>
      </c>
      <c r="F100" s="84" t="inlineStr">
        <is>
          <t>S (&lt;1 day)</t>
        </is>
      </c>
      <c r="G100" s="84" t="inlineStr">
        <is>
          <t>Backend Developer</t>
        </is>
      </c>
      <c r="H100" s="86" t="inlineStr">
        <is>
          <t>Shipped 2026-05-14 (sprint 2026-05-13)</t>
        </is>
      </c>
      <c r="I100" s="84" t="inlineStr">
        <is>
          <t>No</t>
        </is>
      </c>
      <c r="J100" s="84" t="inlineStr">
        <is>
          <t>MockOddsAPI samples vig from rng.uniform(0.06, 0.10). Overround = 1 + vig/2 ∈ [1.030, 1.050]. Regression test asserts strict &gt; 1.03; for game_pk=12345 the inflation path produces 1.0286.</t>
        </is>
      </c>
      <c r="K100" s="84" t="inlineStr">
        <is>
          <t>1. EITHER tighten RNG floor to rng.uniform(0.07, 0.10), OR weaken the assertion to &gt;= 1.03 - 1e-9 with an upper bound &lt; 1.05 + 1e-9. PM prefers the test-side change to keep the SIM-132 mock consistent with real sharp-book MLB data.
2. The [12345] parametrized case passes deterministically across 100 runs.
3. Calibration choice documented in test file.</t>
        </is>
      </c>
      <c r="L100" s="84" t="inlineStr">
        <is>
          <t>SIM-132 (already shipped)</t>
        </is>
      </c>
      <c r="M100" s="84" t="inlineStr">
        <is>
          <t>Created 2026-05-08 from PM acceptance review. Renumbered from SIM-096 to avoid collision with the existing async-models ticket.</t>
        </is>
      </c>
    </row>
    <row r="101" ht="34.5" customHeight="1" s="47">
      <c r="A101" s="91" t="inlineStr">
        <is>
          <t>SIM-160</t>
        </is>
      </c>
      <c r="B101" s="91" t="inlineStr">
        <is>
          <t>Verify raw.pitches.bat_side populated for all loaded seasons</t>
        </is>
      </c>
      <c r="C101" s="91" t="inlineStr">
        <is>
          <t>Schema / ETL</t>
        </is>
      </c>
      <c r="D101" s="91" t="inlineStr">
        <is>
          <t>Gap</t>
        </is>
      </c>
      <c r="E101" s="91" t="inlineStr">
        <is>
          <t>P2</t>
        </is>
      </c>
      <c r="F101" s="91" t="inlineStr">
        <is>
          <t>S (1–2 days)</t>
        </is>
      </c>
      <c r="G101" s="91" t="inlineStr">
        <is>
          <t>Data Engineer</t>
        </is>
      </c>
      <c r="H101" s="91" t="inlineStr">
        <is>
          <t>Open — Sprint 2026-05-20</t>
        </is>
      </c>
      <c r="I101" s="91" t="inlineStr">
        <is>
          <t>No</t>
        </is>
      </c>
      <c r="J101" s="91" t="inlineStr">
        <is>
          <t>SIM-042 ships SIM-051-aware but SIM-051's pull_relative_spray_angle formula requires bat_side to be non-NULL on every row. Confirm bat_side coverage on raw.pitches is ≥ 99 % for every loaded season and add a backfill/ETL fix if not.</t>
        </is>
      </c>
      <c r="K101" s="92" t="inlineStr">
        <is>
          <t>1. SELECT season, COUNT(*) FILTER (WHERE bat_side IS NULL), COUNT(*) FROM raw.pitches GROUP BY 1 reports ≤ 1 % NULLs per season.
2. If any season exceeds 1 %, file a follow-up data-quality ticket and pull bat_side from chadwick_register keyed on batter.
3. Document the result in docs/data_quality/2026-05-20-bat-side-coverage.md.</t>
        </is>
      </c>
      <c r="L101" s="91" t="inlineStr">
        <is>
          <t>Blocks SIM-051</t>
        </is>
      </c>
      <c r="M101" s="91" t="inlineStr">
        <is>
          <t>Generated as a SIM-042 follow-up at 2026-05-14 sprint close.</t>
        </is>
      </c>
    </row>
    <row r="102" ht="15" customHeight="1" s="47">
      <c r="A102" s="91" t="inlineStr">
        <is>
          <t>SIM-161</t>
        </is>
      </c>
      <c r="B102" s="91" t="inlineStr">
        <is>
          <t>Live EXPLAIN ANALYZE run for SIM-085 + SIM-089</t>
        </is>
      </c>
      <c r="C102" s="91" t="inlineStr">
        <is>
          <t>Performance</t>
        </is>
      </c>
      <c r="D102" s="91" t="inlineStr">
        <is>
          <t>Validation</t>
        </is>
      </c>
      <c r="E102" s="91" t="inlineStr">
        <is>
          <t>P1</t>
        </is>
      </c>
      <c r="F102" s="91" t="inlineStr">
        <is>
          <t>S (1–2 days)</t>
        </is>
      </c>
      <c r="G102" s="91" t="inlineStr">
        <is>
          <t>Performance Engineer</t>
        </is>
      </c>
      <c r="H102" s="91" t="inlineStr">
        <is>
          <t>Open — Sprint 2026-05-20</t>
        </is>
      </c>
      <c r="I102" s="91" t="inlineStr">
        <is>
          <t>Staging 2024 data load</t>
        </is>
      </c>
      <c r="J102" s="91" t="inlineStr">
        <is>
          <t>SIM-158 shipped the harness + acceptance doc placeholder; the live EXPLAIN ANALYZE round-trip was deferred because staging didn't yet hold 2024 data. Once staging is loaded, run the harness and capture the plans.</t>
        </is>
      </c>
      <c r="K102" s="92" t="inlineStr">
        <is>
          <t>1. scripts/run_index_acceptance.py exits 0 against staging.
2. Both gates pass per SIM-085 / SIM-089 acceptance criteria.
3. The Markdown report is committed to the repo.
4. If either gate fails, file a follow-up and revert the index claim from CHANGES.md per SIM-158 AC #4.</t>
        </is>
      </c>
      <c r="L102" s="91" t="inlineStr">
        <is>
          <t>SIM-158 (harness shipped)</t>
        </is>
      </c>
      <c r="M102" s="91" t="inlineStr">
        <is>
          <t>Generated as a SIM-158 follow-up at 2026-05-14 sprint close.</t>
        </is>
      </c>
    </row>
    <row r="103" ht="15" customHeight="1" s="47">
      <c r="A103" s="91" t="inlineStr">
        <is>
          <t>SIM-162</t>
        </is>
      </c>
      <c r="B103" s="91" t="inlineStr">
        <is>
          <t>Restore truncated LeagueAverageProfiles.compute() in player_profile_computor.py</t>
        </is>
      </c>
      <c r="C103" s="91" t="inlineStr">
        <is>
          <t>Bug Fix</t>
        </is>
      </c>
      <c r="D103" s="91" t="inlineStr">
        <is>
          <t>Bug</t>
        </is>
      </c>
      <c r="E103" s="91" t="inlineStr">
        <is>
          <t>P1</t>
        </is>
      </c>
      <c r="F103" s="91" t="inlineStr">
        <is>
          <t>S (1–2 days)</t>
        </is>
      </c>
      <c r="G103" s="91" t="inlineStr">
        <is>
          <t>Data Engineer</t>
        </is>
      </c>
      <c r="H103" s="91" t="inlineStr">
        <is>
          <t>Closed</t>
        </is>
      </c>
      <c r="I103" s="91" t="inlineStr">
        <is>
          <t>No</t>
        </is>
      </c>
      <c r="J103" s="91" t="inlineStr">
        <is>
          <t>pipeline/batch/player_profile_computor.py is truncated at line 3755 inside an unfinished LeagueAverageProfiles.compute() f-string. git show HEAD:.../player_profile_computor.py | wc -l returns 3745 lines with a clean ending; the working-tree file has a partial in-progress edit that corrupts the parse. Nothing in the catcher pipeline depends on this method (so SIM-073 shipped fine), but the module won't import as-is.</t>
        </is>
      </c>
      <c r="K103" s="92" t="inlineStr">
        <is>
          <t>1. python -c 'import ast; ast.parse(open("pipeline/batch/player_profile_computor.py").read())' exits 0.
2. Either finish the in-progress edits to LeagueAverageProfiles.compute() so it ships the league-average insert paths for pitcher/batter/fielder-by-position/baserunner/catcher entity types; OR revert the file's tail to upstream HEAD.
3. A unit test invokes LeagueAverageProfiles('...').compute([2024]) against an in-memory DuckDB and confirms every entity_type produces a non-empty row.</t>
        </is>
      </c>
      <c r="L103" s="91" t="inlineStr">
        <is>
          <t>None</t>
        </is>
      </c>
      <c r="M103" s="91" t="inlineStr">
        <is>
          <t>Raised during SIM-073 verification on 2026-05-14. Pre-existing local edit, not collateral from sprint 2026-05-13.</t>
        </is>
      </c>
    </row>
    <row r="104" ht="45.75" customHeight="1" s="47">
      <c r="A104" s="84" t="inlineStr">
        <is>
          <t>SIM-300</t>
        </is>
      </c>
      <c r="B104" s="84" t="inlineStr">
        <is>
          <t>Play-pool architecture spec (Phase 3 §10)</t>
        </is>
      </c>
      <c r="C104" s="84" t="inlineStr">
        <is>
          <t>Phase 3</t>
        </is>
      </c>
      <c r="D104" s="84" t="inlineStr">
        <is>
          <t>Spec</t>
        </is>
      </c>
      <c r="E104" s="85" t="inlineStr">
        <is>
          <t>P0</t>
        </is>
      </c>
      <c r="F104" s="84" t="inlineStr">
        <is>
          <t>M</t>
        </is>
      </c>
      <c r="G104" s="84" t="inlineStr">
        <is>
          <t>Backend Developer + ML Engineer</t>
        </is>
      </c>
      <c r="H104" s="89" t="inlineStr">
        <is>
          <t>Closed</t>
        </is>
      </c>
      <c r="I104" s="84" t="inlineStr">
        <is>
          <t>No</t>
        </is>
      </c>
      <c r="J104" s="84" t="inlineStr">
        <is>
          <t>Reconstructed play-pool architecture spec defining the pre-filter contract, FAISS sub-index materialization, recency lifecycle, the four-method PlayPoolSampler API, and the &lt;=2 GB RAM budget. Keystone that unblocks SIM-301/302.</t>
        </is>
      </c>
      <c r="K104" s="84" t="inlineStr">
        <is>
          <t>Doc lives at docs/architecture/2026-05-20-play-pool.md; defines the SIM-301/302 contract; &lt;=2 GB envelope.</t>
        </is>
      </c>
      <c r="L104" s="84" t="inlineStr">
        <is>
          <t>None</t>
        </is>
      </c>
      <c r="M104" s="84" t="inlineStr">
        <is>
          <t>Rebuilt 2026-05-20 after OneDrive truncation (HANDOFF §7). Sprint 2026-05-27.</t>
        </is>
      </c>
    </row>
    <row r="105" ht="79.5" customHeight="1" s="47">
      <c r="A105" s="84" t="inlineStr">
        <is>
          <t>SIM-301</t>
        </is>
      </c>
      <c r="B105" s="84" t="inlineStr">
        <is>
          <t>Play-pool nightly cache serializer (Phase 3 §10)</t>
        </is>
      </c>
      <c r="C105" s="84" t="inlineStr">
        <is>
          <t>Phase 3</t>
        </is>
      </c>
      <c r="D105" s="84" t="inlineStr">
        <is>
          <t>Feature</t>
        </is>
      </c>
      <c r="E105" s="85" t="inlineStr">
        <is>
          <t>P0</t>
        </is>
      </c>
      <c r="F105" s="84" t="inlineStr">
        <is>
          <t>M</t>
        </is>
      </c>
      <c r="G105" s="84" t="inlineStr">
        <is>
          <t>Backend Developer</t>
        </is>
      </c>
      <c r="H105" s="89" t="inlineStr">
        <is>
          <t>Closed</t>
        </is>
      </c>
      <c r="I105" s="84" t="inlineStr">
        <is>
          <t>No</t>
        </is>
      </c>
      <c r="J105" s="84" t="inlineStr">
        <is>
          <t>Materialize the pre-filtered FAISS indexes per (pitcher_id, batter_handedness) tile onto disk so the API can hot-load them at startup. Defined in docs/architecture/2026-05-20-play-pool.md §10.</t>
        </is>
      </c>
      <c r="K105" s="84" t="inlineStr">
        <is>
          <t>1. Serializer script lives in pipeline/batch/play_pool_cache.py.
2. Cache files written to /data/play_pool/&lt;season&gt;/&lt;pitcher_id&gt;/&lt;bat_hand&gt;.faiss.
3. Per-tile metadata (build timestamp, row count, recency boost flag) written as .meta JSON.
4. Nightly cron entry runs after profile computor.
5. Idempotent — re-runs only rebuild stale or missing tiles.</t>
        </is>
      </c>
      <c r="L105" s="84" t="inlineStr">
        <is>
          <t>SIM-300 spec</t>
        </is>
      </c>
      <c r="M105" s="84" t="inlineStr">
        <is>
          <t>First Phase 3 deliverable. Backend lead.</t>
        </is>
      </c>
    </row>
    <row r="106" ht="90.75" customHeight="1" s="47">
      <c r="A106" s="84" t="inlineStr">
        <is>
          <t>SIM-302</t>
        </is>
      </c>
      <c r="B106" s="84" t="inlineStr">
        <is>
          <t>PlayPoolSampler API surface (Phase 3 §11)</t>
        </is>
      </c>
      <c r="C106" s="84" t="inlineStr">
        <is>
          <t>Phase 3</t>
        </is>
      </c>
      <c r="D106" s="84" t="inlineStr">
        <is>
          <t>Feature</t>
        </is>
      </c>
      <c r="E106" s="85" t="inlineStr">
        <is>
          <t>P0</t>
        </is>
      </c>
      <c r="F106" s="84" t="inlineStr">
        <is>
          <t>M</t>
        </is>
      </c>
      <c r="G106" s="84" t="inlineStr">
        <is>
          <t>Backend Developer + ML Engineer</t>
        </is>
      </c>
      <c r="H106" s="89" t="inlineStr">
        <is>
          <t>Closed</t>
        </is>
      </c>
      <c r="I106" s="84" t="inlineStr">
        <is>
          <t>No</t>
        </is>
      </c>
      <c r="J106" s="84" t="inlineStr">
        <is>
          <t>Define and implement the four-method PlayPoolSampler class that the simulation loop will call. Hot-loads cached FAISS tiles and serves k-nearest queries with metadata.</t>
        </is>
      </c>
      <c r="K106" s="84" t="inlineStr">
        <is>
          <t>1. Class lives in simulation/play_pool_sampler.py.
2. Four methods: load_tile(), sample_pitch(), sample_batted_ball(), reload_recent().
3. Each call returns either a sampled row or a probability dict (e.g., outcome_distribution).
4. Unit tests with synthetic 1k-row tiles.
5. SIM-220 backtesting harness consumes this API as its data interface.</t>
        </is>
      </c>
      <c r="L106" s="84" t="inlineStr">
        <is>
          <t>SIM-301 cache files</t>
        </is>
      </c>
      <c r="M106" s="84" t="inlineStr">
        <is>
          <t>BE+ML joint lead.</t>
        </is>
      </c>
    </row>
    <row r="107" ht="57" customHeight="1" s="47">
      <c r="A107" s="84" t="inlineStr">
        <is>
          <t>SIM-202</t>
        </is>
      </c>
      <c r="B107" s="84" t="inlineStr">
        <is>
          <t>Centralize run-value constants in simulation/constants.py</t>
        </is>
      </c>
      <c r="C107" s="84" t="inlineStr">
        <is>
          <t>Phase 4 Prep</t>
        </is>
      </c>
      <c r="D107" s="84" t="inlineStr">
        <is>
          <t>Improvement</t>
        </is>
      </c>
      <c r="E107" s="85" t="inlineStr">
        <is>
          <t>P0</t>
        </is>
      </c>
      <c r="F107" s="84" t="inlineStr">
        <is>
          <t>S</t>
        </is>
      </c>
      <c r="G107" s="84" t="inlineStr">
        <is>
          <t>Baseball Analyst</t>
        </is>
      </c>
      <c r="H107" s="89" t="inlineStr">
        <is>
          <t>Closed</t>
        </is>
      </c>
      <c r="I107" s="84" t="inlineStr">
        <is>
          <t>No</t>
        </is>
      </c>
      <c r="J107" s="84" t="inlineStr">
        <is>
          <t>Run-value constants (single, double, HR, walk, K, etc.) are referenced by multiple modules but not centralized. Phase 4 sim loop will need a single source of truth.</t>
        </is>
      </c>
      <c r="K107" s="84" t="inlineStr">
        <is>
          <t>1. simulation/constants.py defines RUN_VALUES dict with Tango/Tom-style linear weights for 2024 baseline.
2. Sourced from Baseball Analyst review (cite source).
3. Replace inline constants throughout the codebase.
4. Unit test asserts dict has all 12 standard PA outcomes.</t>
        </is>
      </c>
      <c r="L107" s="84" t="inlineStr">
        <is>
          <t>None</t>
        </is>
      </c>
      <c r="M107" s="84" t="inlineStr">
        <is>
          <t>Trivial but prerequisite for Phase 4 cleanup.</t>
        </is>
      </c>
    </row>
    <row r="108" ht="68.25" customHeight="1" s="47">
      <c r="A108" s="84" t="inlineStr">
        <is>
          <t>SIM-280</t>
        </is>
      </c>
      <c r="B108" s="84" t="inlineStr">
        <is>
          <t>Per-engine RAM budget within 2 GB envelope</t>
        </is>
      </c>
      <c r="C108" s="84" t="inlineStr">
        <is>
          <t>Performance</t>
        </is>
      </c>
      <c r="D108" s="84" t="inlineStr">
        <is>
          <t>Gap</t>
        </is>
      </c>
      <c r="E108" s="85" t="inlineStr">
        <is>
          <t>P0</t>
        </is>
      </c>
      <c r="F108" s="84" t="inlineStr">
        <is>
          <t>S</t>
        </is>
      </c>
      <c r="G108" s="84" t="inlineStr">
        <is>
          <t>Performance Engineer</t>
        </is>
      </c>
      <c r="H108" s="89" t="inlineStr">
        <is>
          <t>Closed</t>
        </is>
      </c>
      <c r="I108" s="84" t="inlineStr">
        <is>
          <t>No</t>
        </is>
      </c>
      <c r="J108" s="84" t="inlineStr">
        <is>
          <t>Allocate RAM budget per engine + play-pool cache so total stays under SIM-114 2 GB envelope at all worker counts.</t>
        </is>
      </c>
      <c r="K108" s="84" t="inlineStr">
        <is>
          <t>1. Per-engine measured footprint table (Bytes-per-profile × cardinality).
2. Play-pool tile budget (Bytes-per-row × max active tiles).
3. Total budget summary against 2 GB cap with worker-count scaling.
4. Commit as docs/perf/2026-05-27-ram-budget.md.</t>
        </is>
      </c>
      <c r="L108" s="84" t="inlineStr">
        <is>
          <t>SIM-118 harness for measurement</t>
        </is>
      </c>
      <c r="M108" s="84" t="inlineStr">
        <is>
          <t>Required before SIM-301 cache sizing.</t>
        </is>
      </c>
    </row>
    <row r="109" ht="90.75" customHeight="1" s="47">
      <c r="A109" s="84" t="inlineStr">
        <is>
          <t>SIM-281</t>
        </is>
      </c>
      <c r="B109" s="84" t="inlineStr">
        <is>
          <t>ProcessPoolExecutor + shared-memory architecture decision</t>
        </is>
      </c>
      <c r="C109" s="84" t="inlineStr">
        <is>
          <t>Performance</t>
        </is>
      </c>
      <c r="D109" s="84" t="inlineStr">
        <is>
          <t>Gap</t>
        </is>
      </c>
      <c r="E109" s="85" t="inlineStr">
        <is>
          <t>P0</t>
        </is>
      </c>
      <c r="F109" s="84" t="inlineStr">
        <is>
          <t>S</t>
        </is>
      </c>
      <c r="G109" s="84" t="inlineStr">
        <is>
          <t>Performance Engineer</t>
        </is>
      </c>
      <c r="H109" s="89" t="inlineStr">
        <is>
          <t>Closed</t>
        </is>
      </c>
      <c r="I109" s="84" t="inlineStr">
        <is>
          <t>No</t>
        </is>
      </c>
      <c r="J109" s="84" t="inlineStr">
        <is>
          <t>Lock the Phase 4 parallelism model — workers, shared memory layout, FAISS index sharing strategy.</t>
        </is>
      </c>
      <c r="K109" s="84" t="inlineStr">
        <is>
          <t>1. ADR-style decision doc at docs/architecture/2026-05-27-parallelism.md.
2. ProcessPoolExecutor vs Ray vs Dask: pick one with rationale.
3. multiprocessing.shared_memory layout for FAISS indexes (zero-copy attach).
4. Worker startup sequence and tile-load timing.
5. PM sign-off before Phase 4 begins.</t>
        </is>
      </c>
      <c r="L109" s="84" t="inlineStr">
        <is>
          <t>SIM-280 budget</t>
        </is>
      </c>
      <c r="M109" s="84" t="inlineStr">
        <is>
          <t>Locks the Phase 4 parallelism model.</t>
        </is>
      </c>
    </row>
    <row r="110" ht="34.5" customHeight="1" s="47">
      <c r="A110" s="84" t="inlineStr">
        <is>
          <t>SIM-303</t>
        </is>
      </c>
      <c r="B110" s="84" t="inlineStr">
        <is>
          <t>Wire PlayPoolSampler into Phase 4 simulation-loop scaffold</t>
        </is>
      </c>
      <c r="C110" s="84" t="inlineStr">
        <is>
          <t>Phase 3</t>
        </is>
      </c>
      <c r="D110" s="84" t="inlineStr">
        <is>
          <t>Feature</t>
        </is>
      </c>
      <c r="E110" s="85" t="inlineStr">
        <is>
          <t>P0</t>
        </is>
      </c>
      <c r="F110" s="84" t="inlineStr">
        <is>
          <t>M</t>
        </is>
      </c>
      <c r="G110" s="84" t="inlineStr">
        <is>
          <t>Backend Developer</t>
        </is>
      </c>
      <c r="H110" s="89" t="inlineStr">
        <is>
          <t>Closed</t>
        </is>
      </c>
      <c r="I110" s="84" t="inlineStr">
        <is>
          <t>No</t>
        </is>
      </c>
      <c r="J110" s="84" t="inlineStr">
        <is>
          <t>Wire the SIM-302 PlayPoolSampler into a minimal simulation-loop scaffold the Phase 4 loop will flesh out; completes Phase 3.</t>
        </is>
      </c>
      <c r="K110" s="84" t="inlineStr">
        <is>
          <t>simulation/sim_loop.py PlateAppearanceSimulator calls sample_pitch/sample_batted_ball; integration test on real tiles.</t>
        </is>
      </c>
      <c r="L110" s="84" t="inlineStr">
        <is>
          <t>SIM-302</t>
        </is>
      </c>
      <c r="M110" s="84" t="inlineStr">
        <is>
          <t>Phase 3 completion. Sprint 2026-06-03.</t>
        </is>
      </c>
    </row>
    <row r="111" ht="23.85" customHeight="1" s="47">
      <c r="A111" s="84" t="inlineStr">
        <is>
          <t>SIM-310</t>
        </is>
      </c>
      <c r="B111" s="84" t="inlineStr">
        <is>
          <t>Canonical Phase 4 simulation-loop spec (8 steps, fingerprints, terminal logic)</t>
        </is>
      </c>
      <c r="C111" s="84" t="inlineStr">
        <is>
          <t>Phase 4</t>
        </is>
      </c>
      <c r="D111" s="84" t="inlineStr">
        <is>
          <t>Spec</t>
        </is>
      </c>
      <c r="E111" s="85" t="inlineStr">
        <is>
          <t>P0</t>
        </is>
      </c>
      <c r="F111" s="84" t="inlineStr">
        <is>
          <t>M (3–5 days)</t>
        </is>
      </c>
      <c r="G111" s="84" t="inlineStr">
        <is>
          <t>Backend Developer + Baseball Analyst</t>
        </is>
      </c>
      <c r="H111" s="89" t="inlineStr">
        <is>
          <t>Open</t>
        </is>
      </c>
      <c r="I111" s="84" t="inlineStr">
        <is>
          <t>No</t>
        </is>
      </c>
      <c r="J111" s="84" t="inlineStr">
        <is>
          <t>Canonical Phase 4 simulation-loop spec (8 steps, fingerprints, terminal logic)</t>
        </is>
      </c>
      <c r="K111" s="84" t="inlineStr">
        <is>
          <t>See docs/audit/2026-06-10-phase4-prioritized-tickets.md</t>
        </is>
      </c>
      <c r="L111" s="84" t="inlineStr">
        <is>
          <t>None</t>
        </is>
      </c>
      <c r="M111" s="84" t="inlineStr">
        <is>
          <t>P0 gate; reconciles README vs SIM-119 step ordering.</t>
        </is>
      </c>
    </row>
    <row r="112" ht="23.85" customHeight="1" s="47">
      <c r="A112" s="84" t="inlineStr">
        <is>
          <t>SIM-311</t>
        </is>
      </c>
      <c r="B112" s="84" t="inlineStr">
        <is>
          <t>GameState + PlayResult dataclass contract</t>
        </is>
      </c>
      <c r="C112" s="84" t="inlineStr">
        <is>
          <t>Phase 4</t>
        </is>
      </c>
      <c r="D112" s="84" t="inlineStr">
        <is>
          <t>Spec</t>
        </is>
      </c>
      <c r="E112" s="85" t="inlineStr">
        <is>
          <t>P0</t>
        </is>
      </c>
      <c r="F112" s="84" t="inlineStr">
        <is>
          <t>M (3–5 days)</t>
        </is>
      </c>
      <c r="G112" s="84" t="inlineStr">
        <is>
          <t>Backend Developer + Data Engineer</t>
        </is>
      </c>
      <c r="H112" s="89" t="inlineStr">
        <is>
          <t>Open</t>
        </is>
      </c>
      <c r="I112" s="84" t="inlineStr">
        <is>
          <t>Yes</t>
        </is>
      </c>
      <c r="J112" s="84" t="inlineStr">
        <is>
          <t>GameState + PlayResult dataclass contract</t>
        </is>
      </c>
      <c r="K112" s="84" t="inlineStr">
        <is>
          <t>See docs/audit/2026-06-10-phase4-prioritized-tickets.md</t>
        </is>
      </c>
      <c r="L112" s="84" t="inlineStr">
        <is>
          <t>SIM-310</t>
        </is>
      </c>
      <c r="M112" s="84" t="inlineStr">
        <is>
          <t>Mutable per-pitch state; gates all loop steps.</t>
        </is>
      </c>
    </row>
    <row r="113" ht="23.85" customHeight="1" s="47">
      <c r="A113" s="84" t="inlineStr">
        <is>
          <t>SIM-312</t>
        </is>
      </c>
      <c r="B113" s="84" t="inlineStr">
        <is>
          <t>Fix RUN_VALUES&lt;-&gt;Statcast events vocabulary mismatch + run-resolution policy</t>
        </is>
      </c>
      <c r="C113" s="84" t="inlineStr">
        <is>
          <t>Phase 4</t>
        </is>
      </c>
      <c r="D113" s="84" t="inlineStr">
        <is>
          <t>Bug</t>
        </is>
      </c>
      <c r="E113" s="85" t="inlineStr">
        <is>
          <t>P0</t>
        </is>
      </c>
      <c r="F113" s="84" t="inlineStr">
        <is>
          <t>M (3–5 days)</t>
        </is>
      </c>
      <c r="G113" s="84" t="inlineStr">
        <is>
          <t>Baseball Analyst + Backend Developer</t>
        </is>
      </c>
      <c r="H113" s="89" t="inlineStr">
        <is>
          <t>Open</t>
        </is>
      </c>
      <c r="I113" s="84" t="inlineStr">
        <is>
          <t>No</t>
        </is>
      </c>
      <c r="J113" s="84" t="inlineStr">
        <is>
          <t>Fix RUN_VALUES&lt;-&gt;Statcast events vocabulary mismatch + run-resolution policy</t>
        </is>
      </c>
      <c r="K113" s="84" t="inlineStr">
        <is>
          <t>See docs/audit/2026-06-10-phase4-prioritized-tickets.md</t>
        </is>
      </c>
      <c r="L113" s="84" t="inlineStr">
        <is>
          <t>None</t>
        </is>
      </c>
      <c r="M113" s="84" t="inlineStr">
        <is>
          <t>BUG: get(event,0.0) silently 0.0 for common outs; use result_* deltas + RE24.</t>
        </is>
      </c>
    </row>
    <row r="114" ht="23.85" customHeight="1" s="47">
      <c r="A114" s="84" t="inlineStr">
        <is>
          <t>SIM-313</t>
        </is>
      </c>
      <c r="B114" s="84" t="inlineStr">
        <is>
          <t>Wire recency_weight into PlayPoolSampler distance-weight</t>
        </is>
      </c>
      <c r="C114" s="84" t="inlineStr">
        <is>
          <t>Phase 4</t>
        </is>
      </c>
      <c r="D114" s="84" t="inlineStr">
        <is>
          <t>Bug</t>
        </is>
      </c>
      <c r="E114" s="85" t="inlineStr">
        <is>
          <t>P0</t>
        </is>
      </c>
      <c r="F114" s="84" t="inlineStr">
        <is>
          <t>S (1–2 days)</t>
        </is>
      </c>
      <c r="G114" s="84" t="inlineStr">
        <is>
          <t>ML Engineer + Backend Developer</t>
        </is>
      </c>
      <c r="H114" s="89" t="inlineStr">
        <is>
          <t>Open</t>
        </is>
      </c>
      <c r="I114" s="84" t="inlineStr">
        <is>
          <t>No</t>
        </is>
      </c>
      <c r="J114" s="84" t="inlineStr">
        <is>
          <t>Wire recency_weight into PlayPoolSampler distance-weight</t>
        </is>
      </c>
      <c r="K114" s="84" t="inlineStr">
        <is>
          <t>See docs/audit/2026-06-10-phase4-prioritized-tickets.md</t>
        </is>
      </c>
      <c r="L114" s="84" t="inlineStr">
        <is>
          <t>None</t>
        </is>
      </c>
      <c r="M114" s="84" t="inlineStr">
        <is>
          <t>BUG: sampler ignores recency_weight despite SIM-111 §8 contract.</t>
        </is>
      </c>
    </row>
    <row r="115" ht="23.85" customHeight="1" s="47">
      <c r="A115" s="84" t="inlineStr">
        <is>
          <t>SIM-314</t>
        </is>
      </c>
      <c r="B115" s="84" t="inlineStr">
        <is>
          <t>Resolve SIM-200/201 ID collision (manager logic vs catcher framing/blocking)</t>
        </is>
      </c>
      <c r="C115" s="84" t="inlineStr">
        <is>
          <t>Phase 4</t>
        </is>
      </c>
      <c r="D115" s="84" t="inlineStr">
        <is>
          <t>Gap</t>
        </is>
      </c>
      <c r="E115" s="85" t="inlineStr">
        <is>
          <t>P0</t>
        </is>
      </c>
      <c r="F115" s="84" t="inlineStr">
        <is>
          <t>S (1–2 days)</t>
        </is>
      </c>
      <c r="G115" s="84" t="inlineStr">
        <is>
          <t>Product Manager</t>
        </is>
      </c>
      <c r="H115" s="89" t="inlineStr">
        <is>
          <t>Open</t>
        </is>
      </c>
      <c r="I115" s="84" t="inlineStr">
        <is>
          <t>No</t>
        </is>
      </c>
      <c r="J115" s="84" t="inlineStr">
        <is>
          <t>Resolve SIM-200/201 ID collision (manager logic vs catcher framing/blocking)</t>
        </is>
      </c>
      <c r="K115" s="84" t="inlineStr">
        <is>
          <t>See docs/audit/2026-06-10-phase4-prioritized-tickets.md</t>
        </is>
      </c>
      <c r="L115" s="84" t="inlineStr">
        <is>
          <t>None</t>
        </is>
      </c>
      <c r="M115" s="84" t="inlineStr">
        <is>
          <t>One ID maps to two tickets; corrupts dep graph.</t>
        </is>
      </c>
    </row>
    <row r="116" ht="23.85" customHeight="1" s="47">
      <c r="A116" s="84" t="inlineStr">
        <is>
          <t>SIM-315</t>
        </is>
      </c>
      <c r="B116" s="84" t="inlineStr">
        <is>
          <t>Move repo off OneDrive / pre-commit file-integrity guard</t>
        </is>
      </c>
      <c r="C116" s="84" t="inlineStr">
        <is>
          <t>Phase 4</t>
        </is>
      </c>
      <c r="D116" s="84" t="inlineStr">
        <is>
          <t>Infra</t>
        </is>
      </c>
      <c r="E116" s="85" t="inlineStr">
        <is>
          <t>P0</t>
        </is>
      </c>
      <c r="F116" s="84" t="inlineStr">
        <is>
          <t>M (3–5 days)</t>
        </is>
      </c>
      <c r="G116" s="84" t="inlineStr">
        <is>
          <t>QA/DevOps</t>
        </is>
      </c>
      <c r="H116" s="89" t="inlineStr">
        <is>
          <t>Closed</t>
        </is>
      </c>
      <c r="I116" s="84" t="inlineStr">
        <is>
          <t>No</t>
        </is>
      </c>
      <c r="J116" s="84" t="inlineStr">
        <is>
          <t>Move repo off OneDrive / pre-commit file-integrity guard</t>
        </is>
      </c>
      <c r="K116" s="84" t="inlineStr">
        <is>
          <t>See docs/audit/2026-06-10-phase4-prioritized-tickets.md</t>
        </is>
      </c>
      <c r="L116" s="84" t="inlineStr">
        <is>
          <t>None</t>
        </is>
      </c>
      <c r="M116" s="84" t="inlineStr">
        <is>
          <t>Truncation corrupts the working tree (git unusable). | Closed 2026-05-24 (Phase 5 Sprint 1): scripts/check_file_integrity.py + pre-commit + CI job.</t>
        </is>
      </c>
    </row>
    <row r="117" ht="23.85" customHeight="1" s="47">
      <c r="A117" s="84" t="inlineStr">
        <is>
          <t>SIM-316</t>
        </is>
      </c>
      <c r="B117" s="84" t="inlineStr">
        <is>
          <t>GameState manager + count/out/base/inning state machine + invalid-state guards</t>
        </is>
      </c>
      <c r="C117" s="84" t="inlineStr">
        <is>
          <t>Phase 4</t>
        </is>
      </c>
      <c r="D117" s="84" t="inlineStr">
        <is>
          <t>Feature</t>
        </is>
      </c>
      <c r="E117" s="85" t="inlineStr">
        <is>
          <t>P1</t>
        </is>
      </c>
      <c r="F117" s="84" t="inlineStr">
        <is>
          <t>M (3–5 days)</t>
        </is>
      </c>
      <c r="G117" s="84" t="inlineStr">
        <is>
          <t>Backend Developer</t>
        </is>
      </c>
      <c r="H117" s="89" t="inlineStr">
        <is>
          <t>Open</t>
        </is>
      </c>
      <c r="I117" s="84" t="inlineStr">
        <is>
          <t>Yes</t>
        </is>
      </c>
      <c r="J117" s="84" t="inlineStr">
        <is>
          <t>GameState manager + count/out/base/inning state machine + invalid-state guards</t>
        </is>
      </c>
      <c r="K117" s="84" t="inlineStr">
        <is>
          <t>See docs/audit/2026-06-10-phase4-prioritized-tickets.md</t>
        </is>
      </c>
      <c r="L117" s="84" t="inlineStr">
        <is>
          <t>SIM-311</t>
        </is>
      </c>
      <c r="M117" s="84" t="inlineStr">
        <is>
          <t>Replaces throwaway PitchState.</t>
        </is>
      </c>
    </row>
    <row r="118" ht="23.85" customHeight="1" s="47">
      <c r="A118" s="84" t="inlineStr">
        <is>
          <t>SIM-317</t>
        </is>
      </c>
      <c r="B118" s="84" t="inlineStr">
        <is>
          <t>Real query-fingerprint derivation via engines/registry (SIM-041/042)</t>
        </is>
      </c>
      <c r="C118" s="84" t="inlineStr">
        <is>
          <t>Phase 4</t>
        </is>
      </c>
      <c r="D118" s="84" t="inlineStr">
        <is>
          <t>Feature</t>
        </is>
      </c>
      <c r="E118" s="85" t="inlineStr">
        <is>
          <t>P1</t>
        </is>
      </c>
      <c r="F118" s="84" t="inlineStr">
        <is>
          <t>M (3–5 days)</t>
        </is>
      </c>
      <c r="G118" s="84" t="inlineStr">
        <is>
          <t>Backend Developer + ML Engineer</t>
        </is>
      </c>
      <c r="H118" s="89" t="inlineStr">
        <is>
          <t>Open</t>
        </is>
      </c>
      <c r="I118" s="84" t="inlineStr">
        <is>
          <t>Yes</t>
        </is>
      </c>
      <c r="J118" s="84" t="inlineStr">
        <is>
          <t>Real query-fingerprint derivation via engines/registry (SIM-041/042)</t>
        </is>
      </c>
      <c r="K118" s="84" t="inlineStr">
        <is>
          <t>See docs/audit/2026-06-10-phase4-prioritized-tickets.md</t>
        </is>
      </c>
      <c r="L118" s="84" t="inlineStr">
        <is>
          <t>SIM-311</t>
        </is>
      </c>
      <c r="M118" s="84" t="inlineStr">
        <is>
          <t>Replace stub-hash fingerprints.</t>
        </is>
      </c>
    </row>
    <row r="119" ht="23.85" customHeight="1" s="47">
      <c r="A119" s="84" t="inlineStr">
        <is>
          <t>SIM-318</t>
        </is>
      </c>
      <c r="B119" s="84" t="inlineStr">
        <is>
          <t>Outcome determination + SIM-056 count-foul re-weight + two-strike-foul rule</t>
        </is>
      </c>
      <c r="C119" s="84" t="inlineStr">
        <is>
          <t>Phase 4</t>
        </is>
      </c>
      <c r="D119" s="84" t="inlineStr">
        <is>
          <t>Feature</t>
        </is>
      </c>
      <c r="E119" s="85" t="inlineStr">
        <is>
          <t>P1</t>
        </is>
      </c>
      <c r="F119" s="84" t="inlineStr">
        <is>
          <t>M (3–5 days)</t>
        </is>
      </c>
      <c r="G119" s="84" t="inlineStr">
        <is>
          <t>Backend Developer + Baseball Analyst</t>
        </is>
      </c>
      <c r="H119" s="89" t="inlineStr">
        <is>
          <t>Open</t>
        </is>
      </c>
      <c r="I119" s="84" t="inlineStr">
        <is>
          <t>Yes</t>
        </is>
      </c>
      <c r="J119" s="84" t="inlineStr">
        <is>
          <t>Outcome determination + SIM-056 count-foul re-weight + two-strike-foul rule</t>
        </is>
      </c>
      <c r="K119" s="84" t="inlineStr">
        <is>
          <t>See docs/audit/2026-06-10-phase4-prioritized-tickets.md</t>
        </is>
      </c>
      <c r="L119" s="84" t="inlineStr">
        <is>
          <t>SIM-316, SIM-317</t>
        </is>
      </c>
      <c r="M119" s="84" t="inlineStr">
        <is>
          <t>Hosts the SIM-056 design.</t>
        </is>
      </c>
    </row>
    <row r="120" ht="23.85" customHeight="1" s="47">
      <c r="A120" s="84" t="inlineStr">
        <is>
          <t>SIM-319</t>
        </is>
      </c>
      <c r="B120" s="84" t="inlineStr">
        <is>
          <t>Fielding + baserunning resolution + steal decision/outcome</t>
        </is>
      </c>
      <c r="C120" s="84" t="inlineStr">
        <is>
          <t>Phase 4</t>
        </is>
      </c>
      <c r="D120" s="84" t="inlineStr">
        <is>
          <t>Feature</t>
        </is>
      </c>
      <c r="E120" s="85" t="inlineStr">
        <is>
          <t>P1</t>
        </is>
      </c>
      <c r="F120" s="84" t="inlineStr">
        <is>
          <t>L (1–2 weeks)</t>
        </is>
      </c>
      <c r="G120" s="84" t="inlineStr">
        <is>
          <t>Backend Developer + ML Engineer</t>
        </is>
      </c>
      <c r="H120" s="89" t="inlineStr">
        <is>
          <t>Open</t>
        </is>
      </c>
      <c r="I120" s="84" t="inlineStr">
        <is>
          <t>Yes</t>
        </is>
      </c>
      <c r="J120" s="84" t="inlineStr">
        <is>
          <t>Fielding + baserunning resolution + steal decision/outcome</t>
        </is>
      </c>
      <c r="K120" s="84" t="inlineStr">
        <is>
          <t>See docs/audit/2026-06-10-phase4-prioritized-tickets.md</t>
        </is>
      </c>
      <c r="L120" s="84" t="inlineStr">
        <is>
          <t>SIM-316, SIM-317</t>
        </is>
      </c>
      <c r="M120" s="84" t="inlineStr">
        <is>
          <t>RBF engines + result_* deltas; stolen_base_pool.</t>
        </is>
      </c>
    </row>
    <row r="121" ht="23.85" customHeight="1" s="47">
      <c r="A121" s="84" t="inlineStr">
        <is>
          <t>SIM-320</t>
        </is>
      </c>
      <c r="B121" s="84" t="inlineStr">
        <is>
          <t>Half-inning + game loop control + simulate_game() entry point</t>
        </is>
      </c>
      <c r="C121" s="84" t="inlineStr">
        <is>
          <t>Phase 4</t>
        </is>
      </c>
      <c r="D121" s="84" t="inlineStr">
        <is>
          <t>Feature</t>
        </is>
      </c>
      <c r="E121" s="85" t="inlineStr">
        <is>
          <t>P1</t>
        </is>
      </c>
      <c r="F121" s="84" t="inlineStr">
        <is>
          <t>M (3–5 days)</t>
        </is>
      </c>
      <c r="G121" s="84" t="inlineStr">
        <is>
          <t>Backend Developer</t>
        </is>
      </c>
      <c r="H121" s="89" t="inlineStr">
        <is>
          <t>Open</t>
        </is>
      </c>
      <c r="I121" s="84" t="inlineStr">
        <is>
          <t>Yes</t>
        </is>
      </c>
      <c r="J121" s="84" t="inlineStr">
        <is>
          <t>Half-inning + game loop control + simulate_game() entry point</t>
        </is>
      </c>
      <c r="K121" s="84" t="inlineStr">
        <is>
          <t>See docs/audit/2026-06-10-phase4-prioritized-tickets.md</t>
        </is>
      </c>
      <c r="L121" s="84" t="inlineStr">
        <is>
          <t>SIM-318, SIM-319</t>
        </is>
      </c>
      <c r="M121" s="84" t="inlineStr">
        <is>
          <t>Unblocks SIM-120.</t>
        </is>
      </c>
    </row>
    <row r="122" ht="23.85" customHeight="1" s="47">
      <c r="A122" s="84" t="inlineStr">
        <is>
          <t>SIM-321</t>
        </is>
      </c>
      <c r="B122" s="84" t="inlineStr">
        <is>
          <t>Cross-engine score-fusion spec + module</t>
        </is>
      </c>
      <c r="C122" s="84" t="inlineStr">
        <is>
          <t>Phase 4</t>
        </is>
      </c>
      <c r="D122" s="84" t="inlineStr">
        <is>
          <t>Design</t>
        </is>
      </c>
      <c r="E122" s="85" t="inlineStr">
        <is>
          <t>P1</t>
        </is>
      </c>
      <c r="F122" s="84" t="inlineStr">
        <is>
          <t>L (1–2 weeks)</t>
        </is>
      </c>
      <c r="G122" s="84" t="inlineStr">
        <is>
          <t>ML Engineer + Backend Developer</t>
        </is>
      </c>
      <c r="H122" s="89" t="inlineStr">
        <is>
          <t>Open</t>
        </is>
      </c>
      <c r="I122" s="84" t="inlineStr">
        <is>
          <t>Yes</t>
        </is>
      </c>
      <c r="J122" s="84" t="inlineStr">
        <is>
          <t>Cross-engine score-fusion spec + module</t>
        </is>
      </c>
      <c r="K122" s="84" t="inlineStr">
        <is>
          <t>See docs/audit/2026-06-10-phase4-prioritized-tickets.md</t>
        </is>
      </c>
      <c r="L122" s="84" t="inlineStr">
        <is>
          <t>SIM-310</t>
        </is>
      </c>
      <c r="M122" s="84" t="inlineStr">
        <is>
          <t>Combine 11 engines into one per-pitch draw.</t>
        </is>
      </c>
    </row>
    <row r="123" ht="23.85" customHeight="1" s="47">
      <c r="A123" s="84" t="inlineStr">
        <is>
          <t>SIM-322</t>
        </is>
      </c>
      <c r="B123" s="84" t="inlineStr">
        <is>
          <t>Fix GMM covariance double-standardization</t>
        </is>
      </c>
      <c r="C123" s="84" t="inlineStr">
        <is>
          <t>Phase 4</t>
        </is>
      </c>
      <c r="D123" s="84" t="inlineStr">
        <is>
          <t>Bug</t>
        </is>
      </c>
      <c r="E123" s="85" t="inlineStr">
        <is>
          <t>P1</t>
        </is>
      </c>
      <c r="F123" s="84" t="inlineStr">
        <is>
          <t>S (1–2 days)</t>
        </is>
      </c>
      <c r="G123" s="84" t="inlineStr">
        <is>
          <t>ML Engineer</t>
        </is>
      </c>
      <c r="H123" s="89" t="inlineStr">
        <is>
          <t>Open</t>
        </is>
      </c>
      <c r="I123" s="84" t="inlineStr">
        <is>
          <t>No</t>
        </is>
      </c>
      <c r="J123" s="84" t="inlineStr">
        <is>
          <t>Fix GMM covariance double-standardization</t>
        </is>
      </c>
      <c r="K123" s="84" t="inlineStr">
        <is>
          <t>See docs/audit/2026-06-10-phase4-prioritized-tickets.md</t>
        </is>
      </c>
      <c r="L123" s="84" t="inlineStr">
        <is>
          <t>None</t>
        </is>
      </c>
      <c r="M123" s="84" t="inlineStr">
        <is>
          <t>BUG: mean original-units vs covariance standardized twice.</t>
        </is>
      </c>
    </row>
    <row r="124" ht="23.85" customHeight="1" s="47">
      <c r="A124" s="84" t="inlineStr">
        <is>
          <t>SIM-323</t>
        </is>
      </c>
      <c r="B124" s="84" t="inlineStr">
        <is>
          <t>Manager decision-logic spec + module (real SIM-201 manager scope)</t>
        </is>
      </c>
      <c r="C124" s="84" t="inlineStr">
        <is>
          <t>Phase 4</t>
        </is>
      </c>
      <c r="D124" s="84" t="inlineStr">
        <is>
          <t>Gap</t>
        </is>
      </c>
      <c r="E124" s="85" t="inlineStr">
        <is>
          <t>P1</t>
        </is>
      </c>
      <c r="F124" s="84" t="inlineStr">
        <is>
          <t>L (1–2 weeks)</t>
        </is>
      </c>
      <c r="G124" s="84" t="inlineStr">
        <is>
          <t>Baseball Analyst + Backend Developer</t>
        </is>
      </c>
      <c r="H124" s="89" t="inlineStr">
        <is>
          <t>Open</t>
        </is>
      </c>
      <c r="I124" s="84" t="inlineStr">
        <is>
          <t>Yes</t>
        </is>
      </c>
      <c r="J124" s="84" t="inlineStr">
        <is>
          <t>Manager decision-logic spec + module (real SIM-201 manager scope)</t>
        </is>
      </c>
      <c r="K124" s="84" t="inlineStr">
        <is>
          <t>See docs/audit/2026-06-10-phase4-prioritized-tickets.md</t>
        </is>
      </c>
      <c r="L124" s="84" t="inlineStr">
        <is>
          <t>SIM-312</t>
        </is>
      </c>
      <c r="M124" s="84" t="inlineStr">
        <is>
          <t>Pull/pinch-hit/bullpen-by-leverage/bunt from tendencies.</t>
        </is>
      </c>
    </row>
    <row r="125" ht="23.85" customHeight="1" s="47">
      <c r="A125" s="84" t="inlineStr">
        <is>
          <t>SIM-220</t>
        </is>
      </c>
      <c r="B125" s="84" t="inlineStr">
        <is>
          <t>Backtesting framework — walk-forward ECE/Brier/log-loss + ablation vs league-average</t>
        </is>
      </c>
      <c r="C125" s="84" t="inlineStr">
        <is>
          <t>Phase 4</t>
        </is>
      </c>
      <c r="D125" s="84" t="inlineStr">
        <is>
          <t>Feature</t>
        </is>
      </c>
      <c r="E125" s="85" t="inlineStr">
        <is>
          <t>P1</t>
        </is>
      </c>
      <c r="F125" s="84" t="inlineStr">
        <is>
          <t>L (1–2 weeks)</t>
        </is>
      </c>
      <c r="G125" s="84" t="inlineStr">
        <is>
          <t>ML Engineer + Betting Analyst</t>
        </is>
      </c>
      <c r="H125" s="89" t="inlineStr">
        <is>
          <t>Open</t>
        </is>
      </c>
      <c r="I125" s="84" t="inlineStr">
        <is>
          <t>Yes</t>
        </is>
      </c>
      <c r="J125" s="84" t="inlineStr">
        <is>
          <t>Backtesting framework — walk-forward ECE/Brier/log-loss + ablation vs league-average</t>
        </is>
      </c>
      <c r="K125" s="84" t="inlineStr">
        <is>
          <t>See docs/audit/2026-06-10-phase4-prioritized-tickets.md</t>
        </is>
      </c>
      <c r="L125" s="84" t="inlineStr">
        <is>
          <t>SIM-320</t>
        </is>
      </c>
      <c r="M125" s="84" t="inlineStr">
        <is>
          <t>Gold-standard validation; only recency harness exists today.</t>
        </is>
      </c>
    </row>
    <row r="126" ht="23.85" customHeight="1" s="47">
      <c r="A126" s="84" t="inlineStr">
        <is>
          <t>SIM-324</t>
        </is>
      </c>
      <c r="B126" s="84" t="inlineStr">
        <is>
          <t>Phase 4 baseball sniff-test suite (run env, platoon, P/PA, RE24)</t>
        </is>
      </c>
      <c r="C126" s="84" t="inlineStr">
        <is>
          <t>Phase 4</t>
        </is>
      </c>
      <c r="D126" s="84" t="inlineStr">
        <is>
          <t>Validation</t>
        </is>
      </c>
      <c r="E126" s="85" t="inlineStr">
        <is>
          <t>P1</t>
        </is>
      </c>
      <c r="F126" s="84" t="inlineStr">
        <is>
          <t>M (3–5 days)</t>
        </is>
      </c>
      <c r="G126" s="84" t="inlineStr">
        <is>
          <t>Baseball Analyst + QA/DevOps</t>
        </is>
      </c>
      <c r="H126" s="89" t="inlineStr">
        <is>
          <t>Open</t>
        </is>
      </c>
      <c r="I126" s="84" t="inlineStr">
        <is>
          <t>Yes</t>
        </is>
      </c>
      <c r="J126" s="84" t="inlineStr">
        <is>
          <t>Phase 4 baseball sniff-test suite (run env, platoon, P/PA, RE24)</t>
        </is>
      </c>
      <c r="K126" s="84" t="inlineStr">
        <is>
          <t>See docs/audit/2026-06-10-phase4-prioritized-tickets.md</t>
        </is>
      </c>
      <c r="L126" s="84" t="inlineStr">
        <is>
          <t>SIM-320</t>
        </is>
      </c>
      <c r="M126" s="84" t="inlineStr">
        <is>
          <t>Pre-backtest gates.</t>
        </is>
      </c>
    </row>
    <row r="127" ht="23.85" customHeight="1" s="47">
      <c r="A127" s="84" t="inlineStr">
        <is>
          <t>SIM-325</t>
        </is>
      </c>
      <c r="B127" s="84" t="inlineStr">
        <is>
          <t>E2E integration test: replay games, chi-squared run distributions (p&gt;0.05)</t>
        </is>
      </c>
      <c r="C127" s="84" t="inlineStr">
        <is>
          <t>Phase 4</t>
        </is>
      </c>
      <c r="D127" s="84" t="inlineStr">
        <is>
          <t>Test</t>
        </is>
      </c>
      <c r="E127" s="85" t="inlineStr">
        <is>
          <t>P1</t>
        </is>
      </c>
      <c r="F127" s="84" t="inlineStr">
        <is>
          <t>L (1–2 weeks)</t>
        </is>
      </c>
      <c r="G127" s="84" t="inlineStr">
        <is>
          <t>QA/DevOps + Baseball Analyst</t>
        </is>
      </c>
      <c r="H127" s="89" t="inlineStr">
        <is>
          <t>Open</t>
        </is>
      </c>
      <c r="I127" s="84" t="inlineStr">
        <is>
          <t>Yes</t>
        </is>
      </c>
      <c r="J127" s="84" t="inlineStr">
        <is>
          <t>E2E integration test: replay games, chi-squared run distributions (p&gt;0.05)</t>
        </is>
      </c>
      <c r="K127" s="84" t="inlineStr">
        <is>
          <t>See docs/audit/2026-06-10-phase4-prioritized-tickets.md</t>
        </is>
      </c>
      <c r="L127" s="84" t="inlineStr">
        <is>
          <t>SIM-320</t>
        </is>
      </c>
      <c r="M127" s="84" t="inlineStr">
        <is>
          <t>Statistical-validity gate.</t>
        </is>
      </c>
    </row>
    <row r="128" ht="23.85" customHeight="1" s="47">
      <c r="A128" s="84" t="inlineStr">
        <is>
          <t>SIM-326</t>
        </is>
      </c>
      <c r="B128" s="84" t="inlineStr">
        <is>
          <t>Invalid-state detection harness (1,000 games)</t>
        </is>
      </c>
      <c r="C128" s="84" t="inlineStr">
        <is>
          <t>Phase 4</t>
        </is>
      </c>
      <c r="D128" s="84" t="inlineStr">
        <is>
          <t>Test</t>
        </is>
      </c>
      <c r="E128" s="85" t="inlineStr">
        <is>
          <t>P1</t>
        </is>
      </c>
      <c r="F128" s="84" t="inlineStr">
        <is>
          <t>M (3–5 days)</t>
        </is>
      </c>
      <c r="G128" s="84" t="inlineStr">
        <is>
          <t>QA/DevOps + Backend Developer</t>
        </is>
      </c>
      <c r="H128" s="89" t="inlineStr">
        <is>
          <t>Open</t>
        </is>
      </c>
      <c r="I128" s="84" t="inlineStr">
        <is>
          <t>Yes</t>
        </is>
      </c>
      <c r="J128" s="84" t="inlineStr">
        <is>
          <t>Invalid-state detection harness (1,000 games)</t>
        </is>
      </c>
      <c r="K128" s="84" t="inlineStr">
        <is>
          <t>See docs/audit/2026-06-10-phase4-prioritized-tickets.md</t>
        </is>
      </c>
      <c r="L128" s="84" t="inlineStr">
        <is>
          <t>SIM-320</t>
        </is>
      </c>
      <c r="M128" s="84" t="inlineStr">
        <is>
          <t>Zero negative scores / &gt;3 outs / impossible advances.</t>
        </is>
      </c>
    </row>
    <row r="129" ht="23.85" customHeight="1" s="47">
      <c r="A129" s="84" t="inlineStr">
        <is>
          <t>SIM-327</t>
        </is>
      </c>
      <c r="B129" s="84" t="inlineStr">
        <is>
          <t>GameSimResult aggregation contract (win%, raw per-iter arrays, simulated_at, CIs)</t>
        </is>
      </c>
      <c r="C129" s="84" t="inlineStr">
        <is>
          <t>Phase 4</t>
        </is>
      </c>
      <c r="D129" s="84" t="inlineStr">
        <is>
          <t>Spec</t>
        </is>
      </c>
      <c r="E129" s="85" t="inlineStr">
        <is>
          <t>P2</t>
        </is>
      </c>
      <c r="F129" s="84" t="inlineStr">
        <is>
          <t>M (3–5 days)</t>
        </is>
      </c>
      <c r="G129" s="84" t="inlineStr">
        <is>
          <t>Backend Developer + UX Designer</t>
        </is>
      </c>
      <c r="H129" s="89" t="inlineStr">
        <is>
          <t>Open</t>
        </is>
      </c>
      <c r="I129" s="84" t="inlineStr">
        <is>
          <t>Yes</t>
        </is>
      </c>
      <c r="J129" s="84" t="inlineStr">
        <is>
          <t>GameSimResult aggregation contract (win%, raw per-iter arrays, simulated_at, CIs)</t>
        </is>
      </c>
      <c r="K129" s="84" t="inlineStr">
        <is>
          <t>See docs/audit/2026-06-10-phase4-prioritized-tickets.md</t>
        </is>
      </c>
      <c r="L129" s="84" t="inlineStr">
        <is>
          <t>SIM-320</t>
        </is>
      </c>
      <c r="M129" s="84" t="inlineStr">
        <is>
          <t>SIM-112 fields; single source for UI/betting.</t>
        </is>
      </c>
    </row>
    <row r="130" ht="23.85" customHeight="1" s="47">
      <c r="A130" s="84" t="inlineStr">
        <is>
          <t>SIM-328</t>
        </is>
      </c>
      <c r="B130" s="84" t="inlineStr">
        <is>
          <t>Per-player sim-average accumulator (AB/H/HR/RBI; IP/K/BB/ER)</t>
        </is>
      </c>
      <c r="C130" s="84" t="inlineStr">
        <is>
          <t>Phase 4</t>
        </is>
      </c>
      <c r="D130" s="84" t="inlineStr">
        <is>
          <t>Feature</t>
        </is>
      </c>
      <c r="E130" s="85" t="inlineStr">
        <is>
          <t>P2</t>
        </is>
      </c>
      <c r="F130" s="84" t="inlineStr">
        <is>
          <t>M (3–5 days)</t>
        </is>
      </c>
      <c r="G130" s="84" t="inlineStr">
        <is>
          <t>Backend Developer + Baseball Analyst</t>
        </is>
      </c>
      <c r="H130" s="89" t="inlineStr">
        <is>
          <t>Open</t>
        </is>
      </c>
      <c r="I130" s="84" t="inlineStr">
        <is>
          <t>Yes</t>
        </is>
      </c>
      <c r="J130" s="84" t="inlineStr">
        <is>
          <t>Per-player sim-average accumulator (AB/H/HR/RBI; IP/K/BB/ER)</t>
        </is>
      </c>
      <c r="K130" s="84" t="inlineStr">
        <is>
          <t>See docs/audit/2026-06-10-phase4-prioritized-tickets.md</t>
        </is>
      </c>
      <c r="L130" s="84" t="inlineStr">
        <is>
          <t>SIM-327</t>
        </is>
      </c>
      <c r="M130" s="84" t="inlineStr">
        <is>
          <t>Boxscore; build into PA loop.</t>
        </is>
      </c>
    </row>
    <row r="131" ht="23.85" customHeight="1" s="47">
      <c r="A131" s="84" t="inlineStr">
        <is>
          <t>SIM-329</t>
        </is>
      </c>
      <c r="B131" s="84" t="inlineStr">
        <is>
          <t>Prop-distribution aggregator (full PMF per prop)</t>
        </is>
      </c>
      <c r="C131" s="84" t="inlineStr">
        <is>
          <t>Phase 4</t>
        </is>
      </c>
      <c r="D131" s="84" t="inlineStr">
        <is>
          <t>Feature</t>
        </is>
      </c>
      <c r="E131" s="85" t="inlineStr">
        <is>
          <t>P2</t>
        </is>
      </c>
      <c r="F131" s="84" t="inlineStr">
        <is>
          <t>L (1–2 weeks)</t>
        </is>
      </c>
      <c r="G131" s="84" t="inlineStr">
        <is>
          <t>Backend Developer + ML Engineer + Betting Analyst</t>
        </is>
      </c>
      <c r="H131" s="89" t="inlineStr">
        <is>
          <t>Open</t>
        </is>
      </c>
      <c r="I131" s="84" t="inlineStr">
        <is>
          <t>Yes</t>
        </is>
      </c>
      <c r="J131" s="84" t="inlineStr">
        <is>
          <t>Prop-distribution aggregator (full PMF per prop)</t>
        </is>
      </c>
      <c r="K131" s="84" t="inlineStr">
        <is>
          <t>See docs/audit/2026-06-10-phase4-prioritized-tickets.md</t>
        </is>
      </c>
      <c r="L131" s="84" t="inlineStr">
        <is>
          <t>SIM-327</t>
        </is>
      </c>
      <c r="M131" s="84" t="inlineStr">
        <is>
          <t>K/hits/HR/RBI/TB; not means.</t>
        </is>
      </c>
    </row>
    <row r="132" ht="15" customHeight="1" s="47">
      <c r="A132" s="84" t="inlineStr">
        <is>
          <t>SIM-330</t>
        </is>
      </c>
      <c r="B132" s="84" t="inlineStr">
        <is>
          <t>Calibrated game win-probability output</t>
        </is>
      </c>
      <c r="C132" s="84" t="inlineStr">
        <is>
          <t>Phase 4</t>
        </is>
      </c>
      <c r="D132" s="84" t="inlineStr">
        <is>
          <t>Feature</t>
        </is>
      </c>
      <c r="E132" s="85" t="inlineStr">
        <is>
          <t>P2</t>
        </is>
      </c>
      <c r="F132" s="84" t="inlineStr">
        <is>
          <t>M (3–5 days)</t>
        </is>
      </c>
      <c r="G132" s="84" t="inlineStr">
        <is>
          <t>Backend Developer + ML Engineer</t>
        </is>
      </c>
      <c r="H132" s="89" t="inlineStr">
        <is>
          <t>Open</t>
        </is>
      </c>
      <c r="I132" s="84" t="inlineStr">
        <is>
          <t>Yes</t>
        </is>
      </c>
      <c r="J132" s="84" t="inlineStr">
        <is>
          <t>Calibrated game win-probability output</t>
        </is>
      </c>
      <c r="K132" s="84" t="inlineStr">
        <is>
          <t>See docs/audit/2026-06-10-phase4-prioritized-tickets.md</t>
        </is>
      </c>
      <c r="L132" s="84" t="inlineStr">
        <is>
          <t>SIM-320</t>
        </is>
      </c>
      <c r="M132" s="84" t="inlineStr">
        <is>
          <t>Moneyline/spread/total CLV needs it.</t>
        </is>
      </c>
    </row>
    <row r="133" ht="15" customHeight="1" s="47">
      <c r="A133" s="84" t="inlineStr">
        <is>
          <t>SIM-331</t>
        </is>
      </c>
      <c r="B133" s="84" t="inlineStr">
        <is>
          <t>Field/baserunner + play-by-play snapshot contracts</t>
        </is>
      </c>
      <c r="C133" s="84" t="inlineStr">
        <is>
          <t>Phase 4</t>
        </is>
      </c>
      <c r="D133" s="84" t="inlineStr">
        <is>
          <t>Spec</t>
        </is>
      </c>
      <c r="E133" s="85" t="inlineStr">
        <is>
          <t>P2</t>
        </is>
      </c>
      <c r="F133" s="84" t="inlineStr">
        <is>
          <t>M (3–5 days)</t>
        </is>
      </c>
      <c r="G133" s="84" t="inlineStr">
        <is>
          <t>Backend Developer + UX Designer</t>
        </is>
      </c>
      <c r="H133" s="89" t="inlineStr">
        <is>
          <t>Open</t>
        </is>
      </c>
      <c r="I133" s="84" t="inlineStr">
        <is>
          <t>Yes</t>
        </is>
      </c>
      <c r="J133" s="84" t="inlineStr">
        <is>
          <t>Field/baserunner + play-by-play snapshot contracts</t>
        </is>
      </c>
      <c r="K133" s="84" t="inlineStr">
        <is>
          <t>See docs/audit/2026-06-10-phase4-prioritized-tickets.md</t>
        </is>
      </c>
      <c r="L133" s="84" t="inlineStr">
        <is>
          <t>SIM-327</t>
        </is>
      </c>
      <c r="M133" s="84" t="inlineStr">
        <is>
          <t>Field graphic, /plays, /state, override-delta.</t>
        </is>
      </c>
    </row>
    <row r="134" ht="23.85" customHeight="1" s="47">
      <c r="A134" s="84" t="inlineStr">
        <is>
          <t>SIM-332</t>
        </is>
      </c>
      <c r="B134" s="84" t="inlineStr">
        <is>
          <t>ProcessPool 100-iteration runner + Redis TTL caching</t>
        </is>
      </c>
      <c r="C134" s="84" t="inlineStr">
        <is>
          <t>Phase 4</t>
        </is>
      </c>
      <c r="D134" s="84" t="inlineStr">
        <is>
          <t>Feature</t>
        </is>
      </c>
      <c r="E134" s="85" t="inlineStr">
        <is>
          <t>P2</t>
        </is>
      </c>
      <c r="F134" s="84" t="inlineStr">
        <is>
          <t>M (3–5 days)</t>
        </is>
      </c>
      <c r="G134" s="84" t="inlineStr">
        <is>
          <t>Backend Developer + Performance Engineer</t>
        </is>
      </c>
      <c r="H134" s="89" t="inlineStr">
        <is>
          <t>Open</t>
        </is>
      </c>
      <c r="I134" s="84" t="inlineStr">
        <is>
          <t>Yes</t>
        </is>
      </c>
      <c r="J134" s="84" t="inlineStr">
        <is>
          <t>ProcessPool 100-iteration runner + Redis TTL caching</t>
        </is>
      </c>
      <c r="K134" s="84" t="inlineStr">
        <is>
          <t>See docs/audit/2026-06-10-phase4-prioritized-tickets.md</t>
        </is>
      </c>
      <c r="L134" s="84" t="inlineStr">
        <is>
          <t>SIM-320</t>
        </is>
      </c>
      <c r="M134" s="84" t="inlineStr">
        <is>
          <t>SIM-281 model; 60s/5-min TTLs.</t>
        </is>
      </c>
    </row>
    <row r="135" ht="23.85" customHeight="1" s="47">
      <c r="A135" s="84" t="inlineStr">
        <is>
          <t>SIM-333</t>
        </is>
      </c>
      <c r="B135" s="84" t="inlineStr">
        <is>
          <t>Shared-memory/mmap zero-copy attach for tiles+KDTree+RBF</t>
        </is>
      </c>
      <c r="C135" s="84" t="inlineStr">
        <is>
          <t>Phase 4</t>
        </is>
      </c>
      <c r="D135" s="84" t="inlineStr">
        <is>
          <t>Feature</t>
        </is>
      </c>
      <c r="E135" s="85" t="inlineStr">
        <is>
          <t>P2</t>
        </is>
      </c>
      <c r="F135" s="84" t="inlineStr">
        <is>
          <t>L (1–2 weeks)</t>
        </is>
      </c>
      <c r="G135" s="84" t="inlineStr">
        <is>
          <t>Performance Engineer</t>
        </is>
      </c>
      <c r="H135" s="89" t="inlineStr">
        <is>
          <t>Open</t>
        </is>
      </c>
      <c r="I135" s="84" t="inlineStr">
        <is>
          <t>Yes</t>
        </is>
      </c>
      <c r="J135" s="84" t="inlineStr">
        <is>
          <t>Shared-memory/mmap zero-copy attach for tiles+KDTree+RBF</t>
        </is>
      </c>
      <c r="K135" s="84" t="inlineStr">
        <is>
          <t>See docs/audit/2026-06-10-phase4-prioritized-tickets.md</t>
        </is>
      </c>
      <c r="L135" s="84" t="inlineStr">
        <is>
          <t>SIM-332</t>
        </is>
      </c>
      <c r="M135" s="84" t="inlineStr">
        <is>
          <t>Keeps &lt;=2GB at W workers.</t>
        </is>
      </c>
    </row>
    <row r="136" ht="15" customHeight="1" s="47">
      <c r="A136" s="84" t="inlineStr">
        <is>
          <t>SIM-334</t>
        </is>
      </c>
      <c r="B136" s="84" t="inlineStr">
        <is>
          <t>Columnarize situation engine + read-only arsenal cache</t>
        </is>
      </c>
      <c r="C136" s="84" t="inlineStr">
        <is>
          <t>Phase 4</t>
        </is>
      </c>
      <c r="D136" s="84" t="inlineStr">
        <is>
          <t>Improvement</t>
        </is>
      </c>
      <c r="E136" s="85" t="inlineStr">
        <is>
          <t>P2</t>
        </is>
      </c>
      <c r="F136" s="84" t="inlineStr">
        <is>
          <t>M (3–5 days)</t>
        </is>
      </c>
      <c r="G136" s="84" t="inlineStr">
        <is>
          <t>Performance Engineer + ML Engineer</t>
        </is>
      </c>
      <c r="H136" s="89" t="inlineStr">
        <is>
          <t>Open</t>
        </is>
      </c>
      <c r="I136" s="84" t="inlineStr">
        <is>
          <t>No</t>
        </is>
      </c>
      <c r="J136" s="84" t="inlineStr">
        <is>
          <t>Columnarize situation engine + read-only arsenal cache</t>
        </is>
      </c>
      <c r="K136" s="84" t="inlineStr">
        <is>
          <t>See docs/audit/2026-06-10-phase4-prioritized-tickets.md</t>
        </is>
      </c>
      <c r="L136" s="84" t="inlineStr">
        <is>
          <t>None</t>
        </is>
      </c>
      <c r="M136" s="84" t="inlineStr">
        <is>
          <t>Reclaims ~100MB; shareable.</t>
        </is>
      </c>
    </row>
    <row r="137" ht="23.85" customHeight="1" s="47">
      <c r="A137" s="84" t="inlineStr">
        <is>
          <t>SIM-335</t>
        </is>
      </c>
      <c r="B137" s="84" t="inlineStr">
        <is>
          <t>Fill perf Bench 4/5 + CI perf/RAM gate</t>
        </is>
      </c>
      <c r="C137" s="84" t="inlineStr">
        <is>
          <t>Phase 4</t>
        </is>
      </c>
      <c r="D137" s="84" t="inlineStr">
        <is>
          <t>Validation</t>
        </is>
      </c>
      <c r="E137" s="85" t="inlineStr">
        <is>
          <t>P2</t>
        </is>
      </c>
      <c r="F137" s="84" t="inlineStr">
        <is>
          <t>M (3–5 days)</t>
        </is>
      </c>
      <c r="G137" s="84" t="inlineStr">
        <is>
          <t>Performance Engineer</t>
        </is>
      </c>
      <c r="H137" s="89" t="inlineStr">
        <is>
          <t>Open</t>
        </is>
      </c>
      <c r="I137" s="84" t="inlineStr">
        <is>
          <t>Yes</t>
        </is>
      </c>
      <c r="J137" s="84" t="inlineStr">
        <is>
          <t>Fill perf Bench 4/5 + CI perf/RAM gate</t>
        </is>
      </c>
      <c r="K137" s="84" t="inlineStr">
        <is>
          <t>See docs/audit/2026-06-10-phase4-prioritized-tickets.md</t>
        </is>
      </c>
      <c r="L137" s="84" t="inlineStr">
        <is>
          <t>SIM-320</t>
        </is>
      </c>
      <c r="M137" s="84" t="inlineStr">
        <is>
          <t>Enforce SIM-119 budget under PERF_STRICT.</t>
        </is>
      </c>
    </row>
    <row r="138" ht="23.85" customHeight="1" s="47">
      <c r="A138" s="84" t="inlineStr">
        <is>
          <t>SIM-336</t>
        </is>
      </c>
      <c r="B138" s="84" t="inlineStr">
        <is>
          <t>Park-factor application + neutralization + fix factor_overall SQL bug + L/R splits</t>
        </is>
      </c>
      <c r="C138" s="84" t="inlineStr">
        <is>
          <t>Phase 4</t>
        </is>
      </c>
      <c r="D138" s="84" t="inlineStr">
        <is>
          <t>Bug</t>
        </is>
      </c>
      <c r="E138" s="85" t="inlineStr">
        <is>
          <t>P2</t>
        </is>
      </c>
      <c r="F138" s="84" t="inlineStr">
        <is>
          <t>M (3–5 days)</t>
        </is>
      </c>
      <c r="G138" s="84" t="inlineStr">
        <is>
          <t>Baseball Analyst + Data Engineer</t>
        </is>
      </c>
      <c r="H138" s="89" t="inlineStr">
        <is>
          <t>Open</t>
        </is>
      </c>
      <c r="I138" s="84" t="inlineStr">
        <is>
          <t>No</t>
        </is>
      </c>
      <c r="J138" s="84" t="inlineStr">
        <is>
          <t>Park-factor application + neutralization + fix factor_overall SQL bug + L/R splits</t>
        </is>
      </c>
      <c r="K138" s="84" t="inlineStr">
        <is>
          <t>See docs/audit/2026-06-10-phase4-prioritized-tickets.md</t>
        </is>
      </c>
      <c r="L138" s="84" t="inlineStr">
        <is>
          <t>None</t>
        </is>
      </c>
      <c r="M138" s="84" t="inlineStr">
        <is>
          <t>BUG: NULL L/R splits + factor_overall ref-before-UNPIVOT.</t>
        </is>
      </c>
    </row>
    <row r="139" ht="23.85" customHeight="1" s="47">
      <c r="A139" s="84" t="inlineStr">
        <is>
          <t>SIM-337</t>
        </is>
      </c>
      <c r="B139" s="84" t="inlineStr">
        <is>
          <t>Reconcile SIM-115 indexes with query contract + add stand composites</t>
        </is>
      </c>
      <c r="C139" s="84" t="inlineStr">
        <is>
          <t>Phase 4</t>
        </is>
      </c>
      <c r="D139" s="84" t="inlineStr">
        <is>
          <t>Bug</t>
        </is>
      </c>
      <c r="E139" s="85" t="inlineStr">
        <is>
          <t>P2</t>
        </is>
      </c>
      <c r="F139" s="84" t="inlineStr">
        <is>
          <t>S (1–2 days)</t>
        </is>
      </c>
      <c r="G139" s="84" t="inlineStr">
        <is>
          <t>Data Engineer + Performance Engineer</t>
        </is>
      </c>
      <c r="H139" s="89" t="inlineStr">
        <is>
          <t>Open</t>
        </is>
      </c>
      <c r="I139" s="84" t="inlineStr">
        <is>
          <t>No</t>
        </is>
      </c>
      <c r="J139" s="84" t="inlineStr">
        <is>
          <t>Reconcile SIM-115 indexes with query contract + add stand composites</t>
        </is>
      </c>
      <c r="K139" s="84" t="inlineStr">
        <is>
          <t>See docs/audit/2026-06-10-phase4-prioritized-tickets.md</t>
        </is>
      </c>
      <c r="L139" s="84" t="inlineStr">
        <is>
          <t>None</t>
        </is>
      </c>
      <c r="M139" s="84" t="inlineStr">
        <is>
          <t>BUG: pruning contradicts SIM-111 §6.2.</t>
        </is>
      </c>
    </row>
    <row r="140" ht="15" customHeight="1" s="47">
      <c r="A140" s="84" t="inlineStr">
        <is>
          <t>SIM-338</t>
        </is>
      </c>
      <c r="B140" s="84" t="inlineStr">
        <is>
          <t>Phase 4 lineup/substitution read path (DuckDB&lt;-&gt;Postgres)</t>
        </is>
      </c>
      <c r="C140" s="84" t="inlineStr">
        <is>
          <t>Phase 4</t>
        </is>
      </c>
      <c r="D140" s="84" t="inlineStr">
        <is>
          <t>Design</t>
        </is>
      </c>
      <c r="E140" s="85" t="inlineStr">
        <is>
          <t>P2</t>
        </is>
      </c>
      <c r="F140" s="84" t="inlineStr">
        <is>
          <t>M (3–5 days)</t>
        </is>
      </c>
      <c r="G140" s="84" t="inlineStr">
        <is>
          <t>Data Engineer + Backend Developer</t>
        </is>
      </c>
      <c r="H140" s="89" t="inlineStr">
        <is>
          <t>Open</t>
        </is>
      </c>
      <c r="I140" s="84" t="inlineStr">
        <is>
          <t>Yes</t>
        </is>
      </c>
      <c r="J140" s="84" t="inlineStr">
        <is>
          <t>Phase 4 lineup/substitution read path (DuckDB&lt;-&gt;Postgres)</t>
        </is>
      </c>
      <c r="K140" s="84" t="inlineStr">
        <is>
          <t>See docs/audit/2026-06-10-phase4-prioritized-tickets.md</t>
        </is>
      </c>
      <c r="L140" s="84" t="inlineStr">
        <is>
          <t>SIM-311</t>
        </is>
      </c>
      <c r="M140" s="84" t="inlineStr">
        <is>
          <t>game_lineups/lineup_state are PG-only.</t>
        </is>
      </c>
    </row>
    <row r="141" ht="15" customHeight="1" s="47">
      <c r="A141" s="84" t="inlineStr">
        <is>
          <t>SIM-339</t>
        </is>
      </c>
      <c r="B141" s="84" t="inlineStr">
        <is>
          <t>CLV engine (implied prob, de-vig, edge, EV, CLV)</t>
        </is>
      </c>
      <c r="C141" s="84" t="inlineStr">
        <is>
          <t>Phase 4</t>
        </is>
      </c>
      <c r="D141" s="84" t="inlineStr">
        <is>
          <t>Feature</t>
        </is>
      </c>
      <c r="E141" s="85" t="inlineStr">
        <is>
          <t>P2</t>
        </is>
      </c>
      <c r="F141" s="84" t="inlineStr">
        <is>
          <t>L (1–2 weeks)</t>
        </is>
      </c>
      <c r="G141" s="84" t="inlineStr">
        <is>
          <t>Betting Analyst + ML Engineer</t>
        </is>
      </c>
      <c r="H141" s="89" t="inlineStr">
        <is>
          <t>Open</t>
        </is>
      </c>
      <c r="I141" s="84" t="inlineStr">
        <is>
          <t>Yes</t>
        </is>
      </c>
      <c r="J141" s="84" t="inlineStr">
        <is>
          <t>CLV engine (implied prob, de-vig, edge, EV, CLV)</t>
        </is>
      </c>
      <c r="K141" s="84" t="inlineStr">
        <is>
          <t>See docs/audit/2026-06-10-phase4-prioritized-tickets.md</t>
        </is>
      </c>
      <c r="L141" s="84" t="inlineStr">
        <is>
          <t>SIM-329, SIM-330</t>
        </is>
      </c>
      <c r="M141" s="84" t="inlineStr">
        <is>
          <t>Gold-standard metric; fully unbuilt.</t>
        </is>
      </c>
    </row>
    <row r="142" ht="23.85" customHeight="1" s="47">
      <c r="A142" s="84" t="inlineStr">
        <is>
          <t>SIM-340</t>
        </is>
      </c>
      <c r="B142" s="84" t="inlineStr">
        <is>
          <t>Real odds provider + prop ingestion + opening-line capture</t>
        </is>
      </c>
      <c r="C142" s="84" t="inlineStr">
        <is>
          <t>Phase 4</t>
        </is>
      </c>
      <c r="D142" s="84" t="inlineStr">
        <is>
          <t>Feature</t>
        </is>
      </c>
      <c r="E142" s="85" t="inlineStr">
        <is>
          <t>P2</t>
        </is>
      </c>
      <c r="F142" s="84" t="inlineStr">
        <is>
          <t>M (3–5 days)</t>
        </is>
      </c>
      <c r="G142" s="84" t="inlineStr">
        <is>
          <t>Data Engineer + Betting Analyst</t>
        </is>
      </c>
      <c r="H142" s="89" t="inlineStr">
        <is>
          <t>Open</t>
        </is>
      </c>
      <c r="I142" s="84" t="inlineStr">
        <is>
          <t>No</t>
        </is>
      </c>
      <c r="J142" s="84" t="inlineStr">
        <is>
          <t>Real odds provider + prop ingestion + opening-line capture</t>
        </is>
      </c>
      <c r="K142" s="84" t="inlineStr">
        <is>
          <t>See docs/audit/2026-06-10-phase4-prioritized-tickets.md</t>
        </is>
      </c>
      <c r="L142" s="84" t="inlineStr">
        <is>
          <t>None</t>
        </is>
      </c>
      <c r="M142" s="84" t="inlineStr">
        <is>
          <t>Swap MockOddsAPI; wire _persist_prop_odds; SIM-138.</t>
        </is>
      </c>
    </row>
    <row r="143" ht="23.85" customHeight="1" s="47">
      <c r="A143" s="84" t="inlineStr">
        <is>
          <t>SIM-341</t>
        </is>
      </c>
      <c r="B143" s="84" t="inlineStr">
        <is>
          <t>Reconcile README + PRODUCT_GUIDE to current state</t>
        </is>
      </c>
      <c r="C143" s="84" t="inlineStr">
        <is>
          <t>Phase 4</t>
        </is>
      </c>
      <c r="D143" s="84" t="inlineStr">
        <is>
          <t>Gap</t>
        </is>
      </c>
      <c r="E143" s="85" t="inlineStr">
        <is>
          <t>P3</t>
        </is>
      </c>
      <c r="F143" s="84" t="inlineStr">
        <is>
          <t>S (1–2 days)</t>
        </is>
      </c>
      <c r="G143" s="84" t="inlineStr">
        <is>
          <t>Product Manager</t>
        </is>
      </c>
      <c r="H143" s="89" t="inlineStr">
        <is>
          <t>Open</t>
        </is>
      </c>
      <c r="I143" s="84" t="inlineStr">
        <is>
          <t>Yes</t>
        </is>
      </c>
      <c r="J143" s="84" t="inlineStr">
        <is>
          <t>Reconcile README + PRODUCT_GUIDE to current state</t>
        </is>
      </c>
      <c r="K143" s="84" t="inlineStr">
        <is>
          <t>See docs/audit/2026-06-10-phase4-prioritized-tickets.md</t>
        </is>
      </c>
      <c r="L143" s="84" t="inlineStr">
        <is>
          <t>SIM-310</t>
        </is>
      </c>
      <c r="M143" s="84" t="inlineStr">
        <is>
          <t>Engines built, registry shipped, simulator-&gt;simulation.</t>
        </is>
      </c>
    </row>
    <row r="144" ht="23.85" customHeight="1" s="47">
      <c r="A144" s="84" t="inlineStr">
        <is>
          <t>SIM-342</t>
        </is>
      </c>
      <c r="B144" s="84" t="inlineStr">
        <is>
          <t>Re-categorize open Phase 3 Gate rows (SIM-107/120/127/128/129)</t>
        </is>
      </c>
      <c r="C144" s="84" t="inlineStr">
        <is>
          <t>Phase 4</t>
        </is>
      </c>
      <c r="D144" s="84" t="inlineStr">
        <is>
          <t>Improvement</t>
        </is>
      </c>
      <c r="E144" s="85" t="inlineStr">
        <is>
          <t>P3</t>
        </is>
      </c>
      <c r="F144" s="84" t="inlineStr">
        <is>
          <t>S (1–2 days)</t>
        </is>
      </c>
      <c r="G144" s="84" t="inlineStr">
        <is>
          <t>Product Manager</t>
        </is>
      </c>
      <c r="H144" s="89" t="inlineStr">
        <is>
          <t>Open</t>
        </is>
      </c>
      <c r="I144" s="84" t="inlineStr">
        <is>
          <t>No</t>
        </is>
      </c>
      <c r="J144" s="84" t="inlineStr">
        <is>
          <t>Re-categorize open Phase 3 Gate rows (SIM-107/120/127/128/129)</t>
        </is>
      </c>
      <c r="K144" s="84" t="inlineStr">
        <is>
          <t>See docs/audit/2026-06-10-phase4-prioritized-tickets.md</t>
        </is>
      </c>
      <c r="L144" s="84" t="inlineStr">
        <is>
          <t>None</t>
        </is>
      </c>
      <c r="M144" s="84" t="inlineStr">
        <is>
          <t>Backlog hygiene.</t>
        </is>
      </c>
    </row>
    <row r="145" ht="23.85" customHeight="1" s="47">
      <c r="A145" s="84" t="inlineStr">
        <is>
          <t>SIM-343</t>
        </is>
      </c>
      <c r="B145" s="84" t="inlineStr">
        <is>
          <t>Add simulation/ to coverage scope + unify CI Python to 3.11</t>
        </is>
      </c>
      <c r="C145" s="84" t="inlineStr">
        <is>
          <t>Phase 4</t>
        </is>
      </c>
      <c r="D145" s="84" t="inlineStr">
        <is>
          <t>CI</t>
        </is>
      </c>
      <c r="E145" s="85" t="inlineStr">
        <is>
          <t>P3</t>
        </is>
      </c>
      <c r="F145" s="84" t="inlineStr">
        <is>
          <t>S (1–2 days)</t>
        </is>
      </c>
      <c r="G145" s="84" t="inlineStr">
        <is>
          <t>QA/DevOps</t>
        </is>
      </c>
      <c r="H145" s="89" t="inlineStr">
        <is>
          <t>Open</t>
        </is>
      </c>
      <c r="I145" s="84" t="inlineStr">
        <is>
          <t>No</t>
        </is>
      </c>
      <c r="J145" s="84" t="inlineStr">
        <is>
          <t>Add simulation/ to coverage scope + unify CI Python to 3.11</t>
        </is>
      </c>
      <c r="K145" s="84" t="inlineStr">
        <is>
          <t>See docs/audit/2026-06-10-phase4-prioritized-tickets.md</t>
        </is>
      </c>
      <c r="L145" s="84" t="inlineStr">
        <is>
          <t>None</t>
        </is>
      </c>
      <c r="M145" s="84" t="inlineStr">
        <is>
          <t>Loop module ships with no coverage gate today.</t>
        </is>
      </c>
    </row>
    <row r="146" ht="23.85" customHeight="1" s="47">
      <c r="A146" s="84" t="inlineStr">
        <is>
          <t>SIM-344</t>
        </is>
      </c>
      <c r="B146" s="84" t="inlineStr">
        <is>
          <t>Remove stray files (.clean/.tmp/_output.txt) + extend .gitignore</t>
        </is>
      </c>
      <c r="C146" s="84" t="inlineStr">
        <is>
          <t>Phase 4</t>
        </is>
      </c>
      <c r="D146" s="84" t="inlineStr">
        <is>
          <t>Chore</t>
        </is>
      </c>
      <c r="E146" s="85" t="inlineStr">
        <is>
          <t>P3</t>
        </is>
      </c>
      <c r="F146" s="84" t="inlineStr">
        <is>
          <t>S (1–2 days)</t>
        </is>
      </c>
      <c r="G146" s="84" t="inlineStr">
        <is>
          <t>QA/DevOps + Data Engineer</t>
        </is>
      </c>
      <c r="H146" s="89" t="inlineStr">
        <is>
          <t>Open</t>
        </is>
      </c>
      <c r="I146" s="84" t="inlineStr">
        <is>
          <t>No</t>
        </is>
      </c>
      <c r="J146" s="84" t="inlineStr">
        <is>
          <t>Remove stray files (.clean/.tmp/_output.txt) + extend .gitignore</t>
        </is>
      </c>
      <c r="K146" s="84" t="inlineStr">
        <is>
          <t>See docs/audit/2026-06-10-phase4-prioritized-tickets.md</t>
        </is>
      </c>
      <c r="L146" s="84" t="inlineStr">
        <is>
          <t>None</t>
        </is>
      </c>
      <c r="M146" s="84" t="inlineStr">
        <is>
          <t>Untracked scratch files in tree.</t>
        </is>
      </c>
    </row>
    <row r="147" ht="35.05" customHeight="1" s="47">
      <c r="A147" s="84" t="inlineStr">
        <is>
          <t>SIM-345</t>
        </is>
      </c>
      <c r="B147" s="84" t="inlineStr">
        <is>
          <t>Data-layer fixes: watermark &gt;=, consistent recency_ref_season, NOT NULL parity, stand/bat_hand contract</t>
        </is>
      </c>
      <c r="C147" s="84" t="inlineStr">
        <is>
          <t>Phase 4</t>
        </is>
      </c>
      <c r="D147" s="84" t="inlineStr">
        <is>
          <t>Bug</t>
        </is>
      </c>
      <c r="E147" s="85" t="inlineStr">
        <is>
          <t>P3</t>
        </is>
      </c>
      <c r="F147" s="84" t="inlineStr">
        <is>
          <t>M (3–5 days)</t>
        </is>
      </c>
      <c r="G147" s="84" t="inlineStr">
        <is>
          <t>Data Engineer</t>
        </is>
      </c>
      <c r="H147" s="89" t="inlineStr">
        <is>
          <t>Open</t>
        </is>
      </c>
      <c r="I147" s="84" t="inlineStr">
        <is>
          <t>No</t>
        </is>
      </c>
      <c r="J147" s="84" t="inlineStr">
        <is>
          <t>Data-layer fixes: watermark &gt;=, consistent recency_ref_season, NOT NULL parity, stand/bat_hand contract</t>
        </is>
      </c>
      <c r="K147" s="84" t="inlineStr">
        <is>
          <t>See docs/audit/2026-06-10-phase4-prioritized-tickets.md</t>
        </is>
      </c>
      <c r="L147" s="84" t="inlineStr">
        <is>
          <t>None</t>
        </is>
      </c>
      <c r="M147" s="84" t="inlineStr">
        <is>
          <t>Incremental-rebuild + recency edge cases.</t>
        </is>
      </c>
    </row>
    <row r="148" ht="23.85" customHeight="1" s="47">
      <c r="A148" s="84" t="inlineStr">
        <is>
          <t>SIM-346</t>
        </is>
      </c>
      <c r="B148" s="84" t="inlineStr">
        <is>
          <t>ML calibration fixes: pitcher no-arsenal no-op, arsenal_gamma vs scale, wire CalibrationReport + drift test</t>
        </is>
      </c>
      <c r="C148" s="84" t="inlineStr">
        <is>
          <t>Phase 4</t>
        </is>
      </c>
      <c r="D148" s="84" t="inlineStr">
        <is>
          <t>Bug</t>
        </is>
      </c>
      <c r="E148" s="85" t="inlineStr">
        <is>
          <t>P3</t>
        </is>
      </c>
      <c r="F148" s="84" t="inlineStr">
        <is>
          <t>M (3–5 days)</t>
        </is>
      </c>
      <c r="G148" s="84" t="inlineStr">
        <is>
          <t>ML Engineer</t>
        </is>
      </c>
      <c r="H148" s="89" t="inlineStr">
        <is>
          <t>Open</t>
        </is>
      </c>
      <c r="I148" s="84" t="inlineStr">
        <is>
          <t>No</t>
        </is>
      </c>
      <c r="J148" s="84" t="inlineStr">
        <is>
          <t>ML calibration fixes: pitcher no-arsenal no-op, arsenal_gamma vs scale, wire CalibrationReport + drift test</t>
        </is>
      </c>
      <c r="K148" s="84" t="inlineStr">
        <is>
          <t>See docs/audit/2026-06-10-phase4-prioritized-tickets.md</t>
        </is>
      </c>
      <c r="L148" s="84" t="inlineStr">
        <is>
          <t>None</t>
        </is>
      </c>
      <c r="M148" s="84" t="inlineStr">
        <is>
          <t>Calibration computed but unused; ×1.0 no-op.</t>
        </is>
      </c>
    </row>
    <row r="149" ht="15" customHeight="1" s="47">
      <c r="A149" s="84" t="inlineStr">
        <is>
          <t>SIM-347</t>
        </is>
      </c>
      <c r="B149" s="84" t="inlineStr">
        <is>
          <t>Stress test 100x30 concurrent games</t>
        </is>
      </c>
      <c r="C149" s="84" t="inlineStr">
        <is>
          <t>Phase 4</t>
        </is>
      </c>
      <c r="D149" s="84" t="inlineStr">
        <is>
          <t>Test</t>
        </is>
      </c>
      <c r="E149" s="85" t="inlineStr">
        <is>
          <t>P3</t>
        </is>
      </c>
      <c r="F149" s="84" t="inlineStr">
        <is>
          <t>M (3–5 days)</t>
        </is>
      </c>
      <c r="G149" s="84" t="inlineStr">
        <is>
          <t>QA/DevOps + Performance Engineer</t>
        </is>
      </c>
      <c r="H149" s="89" t="inlineStr">
        <is>
          <t>Open</t>
        </is>
      </c>
      <c r="I149" s="84" t="inlineStr">
        <is>
          <t>Yes</t>
        </is>
      </c>
      <c r="J149" s="84" t="inlineStr">
        <is>
          <t>Stress test 100x30 concurrent games</t>
        </is>
      </c>
      <c r="K149" s="84" t="inlineStr">
        <is>
          <t>See docs/audit/2026-06-10-phase4-prioritized-tickets.md</t>
        </is>
      </c>
      <c r="L149" s="84" t="inlineStr">
        <is>
          <t>SIM-332</t>
        </is>
      </c>
      <c r="M149" s="84" t="inlineStr">
        <is>
          <t>No races/leaks.</t>
        </is>
      </c>
    </row>
    <row r="150" ht="15" customHeight="1" s="47">
      <c r="A150" s="84" t="inlineStr">
        <is>
          <t>SIM-348</t>
        </is>
      </c>
      <c r="B150" s="84" t="inlineStr">
        <is>
          <t>SIM-107 live-pipeline tests + finish SIM-152 conftest</t>
        </is>
      </c>
      <c r="C150" s="84" t="inlineStr">
        <is>
          <t>Phase 4</t>
        </is>
      </c>
      <c r="D150" s="84" t="inlineStr">
        <is>
          <t>Test</t>
        </is>
      </c>
      <c r="E150" s="85" t="inlineStr">
        <is>
          <t>P3</t>
        </is>
      </c>
      <c r="F150" s="84" t="inlineStr">
        <is>
          <t>L (1–2 weeks)</t>
        </is>
      </c>
      <c r="G150" s="84" t="inlineStr">
        <is>
          <t>QA/DevOps + Data Engineer</t>
        </is>
      </c>
      <c r="H150" s="89" t="inlineStr">
        <is>
          <t>Open</t>
        </is>
      </c>
      <c r="I150" s="84" t="inlineStr">
        <is>
          <t>No</t>
        </is>
      </c>
      <c r="J150" s="84" t="inlineStr">
        <is>
          <t>SIM-107 live-pipeline tests + finish SIM-152 conftest</t>
        </is>
      </c>
      <c r="K150" s="84" t="inlineStr">
        <is>
          <t>See docs/audit/2026-06-10-phase4-prioritized-tickets.md</t>
        </is>
      </c>
      <c r="L150" s="84" t="inlineStr">
        <is>
          <t>None</t>
        </is>
      </c>
      <c r="M150" s="84" t="inlineStr">
        <is>
          <t>1,828-LOC file at 0% coverage.</t>
        </is>
      </c>
    </row>
    <row r="151" ht="15" customHeight="1" s="47">
      <c r="A151" s="84" t="inlineStr">
        <is>
          <t>SIM-349</t>
        </is>
      </c>
      <c r="B151" s="84" t="inlineStr">
        <is>
          <t>Situational-decision module (IBB/sac/hit-and-run/shift)</t>
        </is>
      </c>
      <c r="C151" s="84" t="inlineStr">
        <is>
          <t>Phase 4</t>
        </is>
      </c>
      <c r="D151" s="84" t="inlineStr">
        <is>
          <t>Design</t>
        </is>
      </c>
      <c r="E151" s="85" t="inlineStr">
        <is>
          <t>P3</t>
        </is>
      </c>
      <c r="F151" s="84" t="inlineStr">
        <is>
          <t>M (3–5 days)</t>
        </is>
      </c>
      <c r="G151" s="84" t="inlineStr">
        <is>
          <t>Baseball Analyst</t>
        </is>
      </c>
      <c r="H151" s="89" t="inlineStr">
        <is>
          <t>Open</t>
        </is>
      </c>
      <c r="I151" s="84" t="inlineStr">
        <is>
          <t>Yes</t>
        </is>
      </c>
      <c r="J151" s="84" t="inlineStr">
        <is>
          <t>Situational-decision module (IBB/sac/hit-and-run/shift)</t>
        </is>
      </c>
      <c r="K151" s="84" t="inlineStr">
        <is>
          <t>See docs/audit/2026-06-10-phase4-prioritized-tickets.md</t>
        </is>
      </c>
      <c r="L151" s="84" t="inlineStr">
        <is>
          <t>SIM-323</t>
        </is>
      </c>
      <c r="M151" s="84" t="inlineStr">
        <is>
          <t>Triggers for count/leverage-driven events.</t>
        </is>
      </c>
    </row>
    <row r="152">
      <c r="A152" s="46" t="inlineStr">
        <is>
          <t>SIM-350</t>
        </is>
      </c>
      <c r="B152" s="46" t="inlineStr">
        <is>
          <t>API response-serialization contract — Pydantic models + array-safe JSON for GameSimSummary/WinProbability/snapshots/PMFs/EdgeReport</t>
        </is>
      </c>
      <c r="C152" s="46" t="inlineStr">
        <is>
          <t>Phase 5 — Backend API</t>
        </is>
      </c>
      <c r="D152" s="46" t="inlineStr">
        <is>
          <t>Spec</t>
        </is>
      </c>
      <c r="E152" s="46" t="inlineStr">
        <is>
          <t>P0</t>
        </is>
      </c>
      <c r="F152" s="46" t="inlineStr">
        <is>
          <t>M</t>
        </is>
      </c>
      <c r="G152" s="46" t="inlineStr">
        <is>
          <t>Backend Developer · UX Designer</t>
        </is>
      </c>
      <c r="H152" s="46" t="inlineStr">
        <is>
          <t>Closed</t>
        </is>
      </c>
      <c r="I152" s="46" t="inlineStr">
        <is>
          <t>No</t>
        </is>
      </c>
      <c r="J152" s="46" t="inlineStr">
        <is>
          <t>Numpy-bearing output dataclasses had no JSON contract.</t>
        </is>
      </c>
      <c r="K152" s="46" t="inlineStr">
        <is>
          <t>api/serialization.py + api/schemas.py; model_dump_json round-trips with no numpy leak.</t>
        </is>
      </c>
      <c r="L152" s="46" t="inlineStr"/>
      <c r="M152" s="46" t="inlineStr">
        <is>
          <t>Closed 2026-05-24 (Sprint 1). 21 tests.</t>
        </is>
      </c>
    </row>
    <row r="153">
      <c r="A153" s="46" t="inlineStr">
        <is>
          <t>SIM-351</t>
        </is>
      </c>
      <c r="B153" s="46" t="inlineStr">
        <is>
          <t>Auth + rate-limit + CORS baseline</t>
        </is>
      </c>
      <c r="C153" s="46" t="inlineStr">
        <is>
          <t>Phase 5 — Backend API</t>
        </is>
      </c>
      <c r="D153" s="46" t="inlineStr">
        <is>
          <t>Feature</t>
        </is>
      </c>
      <c r="E153" s="46" t="inlineStr">
        <is>
          <t>P0</t>
        </is>
      </c>
      <c r="F153" s="46" t="inlineStr">
        <is>
          <t>M</t>
        </is>
      </c>
      <c r="G153" s="46" t="inlineStr">
        <is>
          <t>Backend Developer · QA/DevOps</t>
        </is>
      </c>
      <c r="H153" s="46" t="inlineStr">
        <is>
          <t>Closed</t>
        </is>
      </c>
      <c r="I153" s="46" t="inlineStr">
        <is>
          <t>No</t>
        </is>
      </c>
      <c r="J153" s="46" t="inlineStr">
        <is>
          <t>No auth/rate-limit anywhere; CORS was ['*'].</t>
        </is>
      </c>
      <c r="K153" s="46" t="inlineStr">
        <is>
          <t>api/auth.py: API-key dep + stdlib rate limiter + env CORS.</t>
        </is>
      </c>
      <c r="L153" s="46" t="inlineStr"/>
      <c r="M153" s="46" t="inlineStr">
        <is>
          <t>Closed 2026-05-24 (Sprint 1). 9 tests.</t>
        </is>
      </c>
    </row>
    <row r="154">
      <c r="A154" s="46" t="inlineStr">
        <is>
          <t>SIM-352</t>
        </is>
      </c>
      <c r="B154" s="46" t="inlineStr">
        <is>
          <t>Production DB-backed machine_factory for BatchRunner (real sims over PlayPoolSampler + SIM-333 tiles)</t>
        </is>
      </c>
      <c r="C154" s="46" t="inlineStr">
        <is>
          <t>Phase 5 — Backend API</t>
        </is>
      </c>
      <c r="D154" s="46" t="inlineStr">
        <is>
          <t>Feature</t>
        </is>
      </c>
      <c r="E154" s="46" t="inlineStr">
        <is>
          <t>P0</t>
        </is>
      </c>
      <c r="F154" s="46" t="inlineStr">
        <is>
          <t>L</t>
        </is>
      </c>
      <c r="G154" s="46" t="inlineStr">
        <is>
          <t>Backend Developer · Performance Engineer · ML Engineer</t>
        </is>
      </c>
      <c r="H154" s="46" t="inlineStr">
        <is>
          <t>Closed</t>
        </is>
      </c>
      <c r="I154" s="46" t="inlineStr">
        <is>
          <t>No</t>
        </is>
      </c>
      <c r="J154" s="46" t="inlineStr">
        <is>
          <t>Only the no-DB rng factory existed; /simulate couldn't run a real game.</t>
        </is>
      </c>
      <c r="K154" s="46" t="inlineStr">
        <is>
          <t>simulation/production_factory.py; injectable builders for no-DB tests.</t>
        </is>
      </c>
      <c r="L154" s="46" t="inlineStr"/>
      <c r="M154" s="46" t="inlineStr">
        <is>
          <t>Closed 2026-05-24 (Sprint 1). 13 tests. Live-DB SLA acceptance → SIM-372.</t>
        </is>
      </c>
    </row>
    <row r="155">
      <c r="A155" s="46" t="inlineStr">
        <is>
          <t>SIM-353</t>
        </is>
      </c>
      <c r="B155" s="46" t="inlineStr">
        <is>
          <t>Runtime lineup/substitution resolver: Postgres raw.game_lineups → GameState (the SIM-338 gap)</t>
        </is>
      </c>
      <c r="C155" s="46" t="inlineStr">
        <is>
          <t>Phase 5 — Backend API</t>
        </is>
      </c>
      <c r="D155" s="46" t="inlineStr">
        <is>
          <t>Feature</t>
        </is>
      </c>
      <c r="E155" s="46" t="inlineStr">
        <is>
          <t>P0</t>
        </is>
      </c>
      <c r="F155" s="46" t="inlineStr">
        <is>
          <t>L</t>
        </is>
      </c>
      <c r="G155" s="46" t="inlineStr">
        <is>
          <t>Data Engineer · Backend Developer</t>
        </is>
      </c>
      <c r="H155" s="46" t="inlineStr">
        <is>
          <t>Closed</t>
        </is>
      </c>
      <c r="I155" s="46" t="inlineStr">
        <is>
          <t>No</t>
        </is>
      </c>
      <c r="J155" s="46" t="inlineStr">
        <is>
          <t>No runtime read path from lineup stores to GameState.</t>
        </is>
      </c>
      <c r="K155" s="46" t="inlineStr">
        <is>
          <t>simulation/lineup_resolver.py; subs by sequence + as_of_at_bat.</t>
        </is>
      </c>
      <c r="L155" s="46" t="inlineStr"/>
      <c r="M155" s="46" t="inlineStr">
        <is>
          <t>Closed 2026-05-24 (Sprint 1). 24 tests. raw.game_lineups already in migration 0001.</t>
        </is>
      </c>
    </row>
    <row r="156">
      <c r="A156" s="46" t="inlineStr">
        <is>
          <t>SIM-354</t>
        </is>
      </c>
      <c r="B156" s="46" t="inlineStr">
        <is>
          <t>API skeleton — mount ws_router/odds_router/live pipeline into api/main.py</t>
        </is>
      </c>
      <c r="C156" s="46" t="inlineStr">
        <is>
          <t>Phase 5 — Backend API</t>
        </is>
      </c>
      <c r="D156" s="46" t="inlineStr">
        <is>
          <t>Gap</t>
        </is>
      </c>
      <c r="E156" s="46" t="inlineStr">
        <is>
          <t>P0</t>
        </is>
      </c>
      <c r="F156" s="46" t="inlineStr">
        <is>
          <t>S</t>
        </is>
      </c>
      <c r="G156" s="46" t="inlineStr">
        <is>
          <t>Backend Developer · Data Engineer</t>
        </is>
      </c>
      <c r="H156" s="46" t="inlineStr">
        <is>
          <t>Closed</t>
        </is>
      </c>
      <c r="I156" s="46" t="inlineStr">
        <is>
          <t>No</t>
        </is>
      </c>
      <c r="J156" s="46" t="inlineStr">
        <is>
          <t>Built routers/pipeline never mounted into the app.</t>
        </is>
      </c>
      <c r="K156" s="46" t="inlineStr">
        <is>
          <t>api/main.py mounts routers; pipeline gated by LIVE_PIPELINE_ENABLED.</t>
        </is>
      </c>
      <c r="L156" s="46" t="inlineStr"/>
      <c r="M156" s="46" t="inlineStr">
        <is>
          <t>Closed 2026-05-24 (Sprint 1). 11 tests.</t>
        </is>
      </c>
    </row>
    <row r="157">
      <c r="A157" s="46" t="inlineStr">
        <is>
          <t>SIM-355</t>
        </is>
      </c>
      <c r="B157" s="46" t="inlineStr">
        <is>
          <t>GET /api/games/{date} + GET /{game_pk}/simulate (100-iteration runner → GameSimSummary)</t>
        </is>
      </c>
      <c r="C157" s="46" t="inlineStr">
        <is>
          <t>Phase 5 — Backend API</t>
        </is>
      </c>
      <c r="D157" s="46" t="inlineStr">
        <is>
          <t>Feature</t>
        </is>
      </c>
      <c r="E157" s="46" t="inlineStr">
        <is>
          <t>P1</t>
        </is>
      </c>
      <c r="F157" s="46" t="inlineStr">
        <is>
          <t>L</t>
        </is>
      </c>
      <c r="G157" s="46" t="inlineStr">
        <is>
          <t>Backend Developer</t>
        </is>
      </c>
      <c r="H157" s="46" t="inlineStr">
        <is>
          <t>Closed</t>
        </is>
      </c>
      <c r="I157" s="46" t="inlineStr">
        <is>
          <t>No</t>
        </is>
      </c>
      <c r="J157" s="46" t="inlineStr">
        <is>
          <t>The core endpoints.</t>
        </is>
      </c>
      <c r="K157" s="46" t="inlineStr"/>
      <c r="L157" s="46" t="inlineStr"/>
      <c r="M157" s="46" t="inlineStr">
        <is>
          <t>SIM-350, SIM-352, SIM-353 | Closed 2026-05-24 (Phase 5 Sprint 2).</t>
        </is>
      </c>
      <c r="N157" s="46" t="inlineStr"/>
    </row>
    <row r="158">
      <c r="A158" s="46" t="inlineStr">
        <is>
          <t>SIM-356</t>
        </is>
      </c>
      <c r="B158" s="46" t="inlineStr">
        <is>
          <t>Sim-result + pitch-snapshot persistence (Alembic 0014 / DuckDB v8) backing /state + /plays</t>
        </is>
      </c>
      <c r="C158" s="46" t="inlineStr">
        <is>
          <t>Phase 5 — Backend API</t>
        </is>
      </c>
      <c r="D158" s="46" t="inlineStr">
        <is>
          <t>Feature</t>
        </is>
      </c>
      <c r="E158" s="46" t="inlineStr">
        <is>
          <t>P1</t>
        </is>
      </c>
      <c r="F158" s="46" t="inlineStr">
        <is>
          <t>M</t>
        </is>
      </c>
      <c r="G158" s="46" t="inlineStr">
        <is>
          <t>Data Engineer</t>
        </is>
      </c>
      <c r="H158" s="46" t="inlineStr">
        <is>
          <t>Closed</t>
        </is>
      </c>
      <c r="I158" s="46" t="inlineStr">
        <is>
          <t>No</t>
        </is>
      </c>
      <c r="J158" s="46" t="inlineStr">
        <is>
          <t>Only an ephemeral Redis/JSONB blob today.</t>
        </is>
      </c>
      <c r="K158" s="46" t="inlineStr"/>
      <c r="L158" s="46" t="inlineStr"/>
      <c r="M158" s="46" t="inlineStr">
        <is>
          <t>SIM-350 | Closed 2026-05-24 (Phase 5 Sprint 2).</t>
        </is>
      </c>
      <c r="N158" s="46" t="inlineStr"/>
    </row>
    <row r="159">
      <c r="A159" s="46" t="inlineStr">
        <is>
          <t>SIM-357</t>
        </is>
      </c>
      <c r="B159" s="46" t="inlineStr">
        <is>
          <t>GET /{game_pk}/plays + GET /{game_pk}/state/{at_bat}/{pitch} (from persisted snapshots)</t>
        </is>
      </c>
      <c r="C159" s="46" t="inlineStr">
        <is>
          <t>Phase 5 — Backend API</t>
        </is>
      </c>
      <c r="D159" s="46" t="inlineStr">
        <is>
          <t>Feature</t>
        </is>
      </c>
      <c r="E159" s="46" t="inlineStr">
        <is>
          <t>P1</t>
        </is>
      </c>
      <c r="F159" s="46" t="inlineStr">
        <is>
          <t>M</t>
        </is>
      </c>
      <c r="G159" s="46" t="inlineStr">
        <is>
          <t>Backend Developer</t>
        </is>
      </c>
      <c r="H159" s="46" t="inlineStr">
        <is>
          <t>Closed</t>
        </is>
      </c>
      <c r="I159" s="46" t="inlineStr">
        <is>
          <t>No</t>
        </is>
      </c>
      <c r="J159" s="46" t="inlineStr"/>
      <c r="K159" s="46" t="inlineStr"/>
      <c r="L159" s="46" t="inlineStr"/>
      <c r="M159" s="46" t="inlineStr">
        <is>
          <t>SIM-356 | Closed 2026-05-24 (Phase 5 Sprint 2).</t>
        </is>
      </c>
      <c r="N159" s="46" t="inlineStr"/>
    </row>
    <row r="160">
      <c r="A160" s="46" t="inlineStr">
        <is>
          <t>SIM-358</t>
        </is>
      </c>
      <c r="B160" s="46" t="inlineStr">
        <is>
          <t>POST /{game_pk}/simulate/with_override (roster-mod re-sim → OverrideDelta)</t>
        </is>
      </c>
      <c r="C160" s="46" t="inlineStr">
        <is>
          <t>Phase 5 — Backend API</t>
        </is>
      </c>
      <c r="D160" s="46" t="inlineStr">
        <is>
          <t>Feature</t>
        </is>
      </c>
      <c r="E160" s="46" t="inlineStr">
        <is>
          <t>P1</t>
        </is>
      </c>
      <c r="F160" s="46" t="inlineStr">
        <is>
          <t>M</t>
        </is>
      </c>
      <c r="G160" s="46" t="inlineStr">
        <is>
          <t>Backend Developer</t>
        </is>
      </c>
      <c r="H160" s="46" t="inlineStr">
        <is>
          <t>Closed</t>
        </is>
      </c>
      <c r="I160" s="46" t="inlineStr">
        <is>
          <t>No</t>
        </is>
      </c>
      <c r="J160" s="46" t="inlineStr"/>
      <c r="K160" s="46" t="inlineStr"/>
      <c r="L160" s="46" t="inlineStr"/>
      <c r="M160" s="46" t="inlineStr">
        <is>
          <t>SIM-355 | Closed 2026-05-24 (Phase 5 Sprint 2).</t>
        </is>
      </c>
      <c r="N160" s="46" t="inlineStr"/>
    </row>
    <row r="161">
      <c r="A161" s="46" t="inlineStr">
        <is>
          <t>SIM-359</t>
        </is>
      </c>
      <c r="B161" s="46" t="inlineStr">
        <is>
          <t>Redis TTL wiring for the API (sim 60s / pool 5-min / odds 5-min)</t>
        </is>
      </c>
      <c r="C161" s="46" t="inlineStr">
        <is>
          <t>Phase 5 — Backend API</t>
        </is>
      </c>
      <c r="D161" s="46" t="inlineStr">
        <is>
          <t>Feature</t>
        </is>
      </c>
      <c r="E161" s="46" t="inlineStr">
        <is>
          <t>P1</t>
        </is>
      </c>
      <c r="F161" s="46" t="inlineStr">
        <is>
          <t>S</t>
        </is>
      </c>
      <c r="G161" s="46" t="inlineStr">
        <is>
          <t>Backend Developer</t>
        </is>
      </c>
      <c r="H161" s="46" t="inlineStr">
        <is>
          <t>Closed</t>
        </is>
      </c>
      <c r="I161" s="46" t="inlineStr">
        <is>
          <t>No</t>
        </is>
      </c>
      <c r="J161" s="46" t="inlineStr">
        <is>
          <t>Constants exist; not wired to the API.</t>
        </is>
      </c>
      <c r="K161" s="46" t="inlineStr"/>
      <c r="L161" s="46" t="inlineStr"/>
      <c r="M161" s="46" t="inlineStr">
        <is>
          <t>SIM-355 | Closed 2026-05-24 (Phase 5 Sprint 2).</t>
        </is>
      </c>
      <c r="N161" s="46" t="inlineStr"/>
    </row>
    <row r="162">
      <c r="A162" s="46" t="inlineStr">
        <is>
          <t>SIM-360</t>
        </is>
      </c>
      <c r="B162" s="46" t="inlineStr">
        <is>
          <t>Persistent ProcessPool + shared-memory lifecycle for the long-lived API</t>
        </is>
      </c>
      <c r="C162" s="46" t="inlineStr">
        <is>
          <t>Phase 5 — Backend API</t>
        </is>
      </c>
      <c r="D162" s="46" t="inlineStr">
        <is>
          <t>Perf</t>
        </is>
      </c>
      <c r="E162" s="46" t="inlineStr">
        <is>
          <t>P1</t>
        </is>
      </c>
      <c r="F162" s="46" t="inlineStr">
        <is>
          <t>M</t>
        </is>
      </c>
      <c r="G162" s="46" t="inlineStr">
        <is>
          <t>Performance Engineer</t>
        </is>
      </c>
      <c r="H162" s="46" t="inlineStr">
        <is>
          <t>Open</t>
        </is>
      </c>
      <c r="I162" s="46" t="inlineStr">
        <is>
          <t>No</t>
        </is>
      </c>
      <c r="J162" s="46" t="inlineStr">
        <is>
          <t>Today a fresh pool + shm publish/unlink per request.</t>
        </is>
      </c>
      <c r="K162" s="46" t="inlineStr"/>
      <c r="L162" s="46" t="inlineStr"/>
      <c r="M162" s="46" t="inlineStr">
        <is>
          <t>SIM-352</t>
        </is>
      </c>
      <c r="N162" s="46" t="inlineStr"/>
    </row>
    <row r="163">
      <c r="A163" s="46" t="inlineStr">
        <is>
          <t>SIM-361</t>
        </is>
      </c>
      <c r="B163" s="46" t="inlineStr">
        <is>
          <t>CalibrationReport JSON persistence + API-startup load + CalibrationMap wiring; build all 11 engines</t>
        </is>
      </c>
      <c r="C163" s="46" t="inlineStr">
        <is>
          <t>Phase 5 — Backend API</t>
        </is>
      </c>
      <c r="D163" s="46" t="inlineStr">
        <is>
          <t>Feature</t>
        </is>
      </c>
      <c r="E163" s="46" t="inlineStr">
        <is>
          <t>P1</t>
        </is>
      </c>
      <c r="F163" s="46" t="inlineStr">
        <is>
          <t>M</t>
        </is>
      </c>
      <c r="G163" s="46" t="inlineStr">
        <is>
          <t>ML Engineer</t>
        </is>
      </c>
      <c r="H163" s="46" t="inlineStr">
        <is>
          <t>Open</t>
        </is>
      </c>
      <c r="I163" s="46" t="inlineStr">
        <is>
          <t>No</t>
        </is>
      </c>
      <c r="J163" s="46" t="inlineStr">
        <is>
          <t>Only the pitcher engine builds at startup today.</t>
        </is>
      </c>
      <c r="K163" s="46" t="inlineStr"/>
      <c r="L163" s="46" t="inlineStr"/>
      <c r="M163" s="46" t="inlineStr"/>
      <c r="N163" s="46" t="inlineStr"/>
    </row>
    <row r="164">
      <c r="A164" s="46" t="inlineStr">
        <is>
          <t>SIM-362</t>
        </is>
      </c>
      <c r="B164" s="46" t="inlineStr">
        <is>
          <t>Per-inning linescore + team R/H/E tracking in the loop</t>
        </is>
      </c>
      <c r="C164" s="46" t="inlineStr">
        <is>
          <t>Phase 5 — Loop Outputs</t>
        </is>
      </c>
      <c r="D164" s="46" t="inlineStr">
        <is>
          <t>Gap</t>
        </is>
      </c>
      <c r="E164" s="46" t="inlineStr">
        <is>
          <t>P2</t>
        </is>
      </c>
      <c r="F164" s="46" t="inlineStr">
        <is>
          <t>L</t>
        </is>
      </c>
      <c r="G164" s="46" t="inlineStr">
        <is>
          <t>Backend Developer · Baseball Analyst</t>
        </is>
      </c>
      <c r="H164" s="46" t="inlineStr">
        <is>
          <t>Open</t>
        </is>
      </c>
      <c r="I164" s="46" t="inlineStr">
        <is>
          <t>No</t>
        </is>
      </c>
      <c r="J164" s="46" t="inlineStr">
        <is>
          <t>Only cumulative score exists; LinescoreGraphic unservable.</t>
        </is>
      </c>
      <c r="K164" s="46" t="inlineStr"/>
      <c r="L164" s="46" t="inlineStr"/>
      <c r="M164" s="46" t="inlineStr"/>
      <c r="N164" s="46" t="inlineStr"/>
    </row>
    <row r="165">
      <c r="A165" s="46" t="inlineStr">
        <is>
          <t>SIM-363</t>
        </is>
      </c>
      <c r="B165" s="46" t="inlineStr">
        <is>
          <t>Per-position fielder tracking → populate FieldSnapshot's 9 defensive slots</t>
        </is>
      </c>
      <c r="C165" s="46" t="inlineStr">
        <is>
          <t>Phase 5 — Loop Outputs</t>
        </is>
      </c>
      <c r="D165" s="46" t="inlineStr">
        <is>
          <t>Gap</t>
        </is>
      </c>
      <c r="E165" s="46" t="inlineStr">
        <is>
          <t>P2</t>
        </is>
      </c>
      <c r="F165" s="46" t="inlineStr">
        <is>
          <t>M</t>
        </is>
      </c>
      <c r="G165" s="46" t="inlineStr">
        <is>
          <t>Backend Developer · ML Engineer</t>
        </is>
      </c>
      <c r="H165" s="46" t="inlineStr">
        <is>
          <t>Open</t>
        </is>
      </c>
      <c r="I165" s="46" t="inlineStr">
        <is>
          <t>No</t>
        </is>
      </c>
      <c r="J165" s="46" t="inlineStr">
        <is>
          <t>FieldSnapshot slots empty today.</t>
        </is>
      </c>
      <c r="K165" s="46" t="inlineStr"/>
      <c r="L165" s="46" t="inlineStr"/>
      <c r="M165" s="46" t="inlineStr">
        <is>
          <t>SIM-353</t>
        </is>
      </c>
      <c r="N165" s="46" t="inlineStr"/>
    </row>
    <row r="166">
      <c r="A166" s="46" t="inlineStr">
        <is>
          <t>SIM-364</t>
        </is>
      </c>
      <c r="B166" s="46" t="inlineStr">
        <is>
          <t>Winning / losing / save pitcher attribution</t>
        </is>
      </c>
      <c r="C166" s="46" t="inlineStr">
        <is>
          <t>Phase 5 — Loop Outputs</t>
        </is>
      </c>
      <c r="D166" s="46" t="inlineStr">
        <is>
          <t>Gap</t>
        </is>
      </c>
      <c r="E166" s="46" t="inlineStr">
        <is>
          <t>P2</t>
        </is>
      </c>
      <c r="F166" s="46" t="inlineStr">
        <is>
          <t>M</t>
        </is>
      </c>
      <c r="G166" s="46" t="inlineStr">
        <is>
          <t>Baseball Analyst · Backend Developer</t>
        </is>
      </c>
      <c r="H166" s="46" t="inlineStr">
        <is>
          <t>Open</t>
        </is>
      </c>
      <c r="I166" s="46" t="inlineStr">
        <is>
          <t>No</t>
        </is>
      </c>
      <c r="J166" s="46" t="inlineStr">
        <is>
          <t>Required by the Completed game card; absent today.</t>
        </is>
      </c>
      <c r="K166" s="46" t="inlineStr"/>
      <c r="L166" s="46" t="inlineStr"/>
      <c r="M166" s="46" t="inlineStr">
        <is>
          <t>SIM-362</t>
        </is>
      </c>
      <c r="N166" s="46" t="inlineStr"/>
    </row>
    <row r="167">
      <c r="A167" s="46" t="inlineStr">
        <is>
          <t>SIM-365</t>
        </is>
      </c>
      <c r="B167" s="46" t="inlineStr">
        <is>
          <t>Extend PlayerStatLine (2B/3B/R/SB; pitcher hits/runs-allowed) + fix SIM-329 prop-TB lower bound</t>
        </is>
      </c>
      <c r="C167" s="46" t="inlineStr">
        <is>
          <t>Phase 5 — Loop Outputs</t>
        </is>
      </c>
      <c r="D167" s="46" t="inlineStr">
        <is>
          <t>Improvement</t>
        </is>
      </c>
      <c r="E167" s="46" t="inlineStr">
        <is>
          <t>P2</t>
        </is>
      </c>
      <c r="F167" s="46" t="inlineStr">
        <is>
          <t>M</t>
        </is>
      </c>
      <c r="G167" s="46" t="inlineStr">
        <is>
          <t>Baseball Analyst · Backend Developer</t>
        </is>
      </c>
      <c r="H167" s="46" t="inlineStr">
        <is>
          <t>Open</t>
        </is>
      </c>
      <c r="I167" s="46" t="inlineStr">
        <is>
          <t>No</t>
        </is>
      </c>
      <c r="J167" s="46" t="inlineStr">
        <is>
          <t>prop TB is a lower bound (h+3·hr) until 2B/3B tracked.</t>
        </is>
      </c>
      <c r="K167" s="46" t="inlineStr"/>
      <c r="L167" s="46" t="inlineStr"/>
      <c r="M167" s="46" t="inlineStr"/>
      <c r="N167" s="46" t="inlineStr"/>
    </row>
    <row r="168">
      <c r="A168" s="46" t="inlineStr">
        <is>
          <t>SIM-366</t>
        </is>
      </c>
      <c r="B168" s="46" t="inlineStr">
        <is>
          <t>Per-player 100-iteration boxscore-average API shape (PropDistributionSet means)</t>
        </is>
      </c>
      <c r="C168" s="46" t="inlineStr">
        <is>
          <t>Phase 5 — Backend API</t>
        </is>
      </c>
      <c r="D168" s="46" t="inlineStr">
        <is>
          <t>Feature</t>
        </is>
      </c>
      <c r="E168" s="46" t="inlineStr">
        <is>
          <t>P2</t>
        </is>
      </c>
      <c r="F168" s="46" t="inlineStr">
        <is>
          <t>S</t>
        </is>
      </c>
      <c r="G168" s="46" t="inlineStr">
        <is>
          <t>Backend Developer · UX Designer</t>
        </is>
      </c>
      <c r="H168" s="46" t="inlineStr">
        <is>
          <t>Open</t>
        </is>
      </c>
      <c r="I168" s="46" t="inlineStr">
        <is>
          <t>No</t>
        </is>
      </c>
      <c r="J168" s="46" t="inlineStr"/>
      <c r="K168" s="46" t="inlineStr"/>
      <c r="L168" s="46" t="inlineStr"/>
      <c r="M168" s="46" t="inlineStr">
        <is>
          <t>SIM-350</t>
        </is>
      </c>
      <c r="N168" s="46" t="inlineStr"/>
    </row>
    <row r="169">
      <c r="A169" s="46" t="inlineStr">
        <is>
          <t>SIM-367</t>
        </is>
      </c>
      <c r="B169" s="46" t="inlineStr">
        <is>
          <t>Run-line / spread EdgeReport from raw score-margin arrays</t>
        </is>
      </c>
      <c r="C169" s="46" t="inlineStr">
        <is>
          <t>Phase 5 — Betting</t>
        </is>
      </c>
      <c r="D169" s="46" t="inlineStr">
        <is>
          <t>Gap</t>
        </is>
      </c>
      <c r="E169" s="46" t="inlineStr">
        <is>
          <t>P2</t>
        </is>
      </c>
      <c r="F169" s="46" t="inlineStr">
        <is>
          <t>S</t>
        </is>
      </c>
      <c r="G169" s="46" t="inlineStr">
        <is>
          <t>Betting Analyst · ML Engineer</t>
        </is>
      </c>
      <c r="H169" s="46" t="inlineStr">
        <is>
          <t>Open</t>
        </is>
      </c>
      <c r="I169" s="46" t="inlineStr">
        <is>
          <t>No</t>
        </is>
      </c>
      <c r="J169" s="46" t="inlineStr">
        <is>
          <t>Only ML/total/prop edge exist.</t>
        </is>
      </c>
      <c r="K169" s="46" t="inlineStr"/>
      <c r="L169" s="46" t="inlineStr"/>
      <c r="M169" s="46" t="inlineStr"/>
      <c r="N169" s="46" t="inlineStr"/>
    </row>
    <row r="170">
      <c r="A170" s="46" t="inlineStr">
        <is>
          <t>SIM-368</t>
        </is>
      </c>
      <c r="B170" s="46" t="inlineStr">
        <is>
          <t>CLV / line-movement time-series surface (opening→closing)</t>
        </is>
      </c>
      <c r="C170" s="46" t="inlineStr">
        <is>
          <t>Phase 5 — Betting</t>
        </is>
      </c>
      <c r="D170" s="46" t="inlineStr">
        <is>
          <t>Gap</t>
        </is>
      </c>
      <c r="E170" s="46" t="inlineStr">
        <is>
          <t>P2</t>
        </is>
      </c>
      <c r="F170" s="46" t="inlineStr">
        <is>
          <t>M</t>
        </is>
      </c>
      <c r="G170" s="46" t="inlineStr">
        <is>
          <t>Betting Analyst · Data Engineer</t>
        </is>
      </c>
      <c r="H170" s="46" t="inlineStr">
        <is>
          <t>Open</t>
        </is>
      </c>
      <c r="I170" s="46" t="inlineStr">
        <is>
          <t>No</t>
        </is>
      </c>
      <c r="J170" s="46" t="inlineStr">
        <is>
          <t>CLV is a single entry-vs-close snapshot today.</t>
        </is>
      </c>
      <c r="K170" s="46" t="inlineStr"/>
      <c r="L170" s="46" t="inlineStr"/>
      <c r="M170" s="46" t="inlineStr">
        <is>
          <t>SIM-370</t>
        </is>
      </c>
      <c r="N170" s="46" t="inlineStr"/>
    </row>
    <row r="171">
      <c r="A171" s="46" t="inlineStr">
        <is>
          <t>SIM-369</t>
        </is>
      </c>
      <c r="B171" s="46" t="inlineStr">
        <is>
          <t>Bet-signal / +EV recommendation endpoint contract</t>
        </is>
      </c>
      <c r="C171" s="46" t="inlineStr">
        <is>
          <t>Phase 5 — Betting</t>
        </is>
      </c>
      <c r="D171" s="46" t="inlineStr">
        <is>
          <t>Feature</t>
        </is>
      </c>
      <c r="E171" s="46" t="inlineStr">
        <is>
          <t>P2</t>
        </is>
      </c>
      <c r="F171" s="46" t="inlineStr">
        <is>
          <t>M</t>
        </is>
      </c>
      <c r="G171" s="46" t="inlineStr">
        <is>
          <t>Betting Analyst</t>
        </is>
      </c>
      <c r="H171" s="46" t="inlineStr">
        <is>
          <t>Open</t>
        </is>
      </c>
      <c r="I171" s="46" t="inlineStr">
        <is>
          <t>No</t>
        </is>
      </c>
      <c r="J171" s="46" t="inlineStr">
        <is>
          <t>Aggregate EdgeReports into a fireable signal.</t>
        </is>
      </c>
      <c r="K171" s="46" t="inlineStr"/>
      <c r="L171" s="46" t="inlineStr"/>
      <c r="M171" s="46" t="inlineStr">
        <is>
          <t>SIM-367</t>
        </is>
      </c>
      <c r="N171" s="46" t="inlineStr"/>
    </row>
    <row r="172">
      <c r="A172" s="46" t="inlineStr">
        <is>
          <t>SIM-370</t>
        </is>
      </c>
      <c r="B172" s="46" t="inlineStr">
        <is>
          <t>Real odds/prop provider swap behind MockOddsAPI</t>
        </is>
      </c>
      <c r="C172" s="46" t="inlineStr">
        <is>
          <t>Phase 5 — Betting</t>
        </is>
      </c>
      <c r="D172" s="46" t="inlineStr">
        <is>
          <t>Feature</t>
        </is>
      </c>
      <c r="E172" s="46" t="inlineStr">
        <is>
          <t>P2</t>
        </is>
      </c>
      <c r="F172" s="46" t="inlineStr">
        <is>
          <t>M</t>
        </is>
      </c>
      <c r="G172" s="46" t="inlineStr">
        <is>
          <t>Data Engineer · Betting Analyst</t>
        </is>
      </c>
      <c r="H172" s="46" t="inlineStr">
        <is>
          <t>Open</t>
        </is>
      </c>
      <c r="I172" s="46" t="inlineStr">
        <is>
          <t>No</t>
        </is>
      </c>
      <c r="J172" s="46" t="inlineStr">
        <is>
          <t>Multi-book, sharp flag; cadence wired by SIM-340.</t>
        </is>
      </c>
      <c r="K172" s="46" t="inlineStr"/>
      <c r="L172" s="46" t="inlineStr"/>
      <c r="M172" s="46" t="inlineStr"/>
      <c r="N172" s="46" t="inlineStr"/>
    </row>
    <row r="173">
      <c r="A173" s="46" t="inlineStr">
        <is>
          <t>SIM-371</t>
        </is>
      </c>
      <c r="B173" s="46" t="inlineStr">
        <is>
          <t>API integration + WebSocket + historical-replay E2E suite</t>
        </is>
      </c>
      <c r="C173" s="46" t="inlineStr">
        <is>
          <t>Phase 5 — Testing</t>
        </is>
      </c>
      <c r="D173" s="46" t="inlineStr">
        <is>
          <t>Test</t>
        </is>
      </c>
      <c r="E173" s="46" t="inlineStr">
        <is>
          <t>P2</t>
        </is>
      </c>
      <c r="F173" s="46" t="inlineStr">
        <is>
          <t>L</t>
        </is>
      </c>
      <c r="G173" s="46" t="inlineStr">
        <is>
          <t>QA/DevOps · Baseball Analyst</t>
        </is>
      </c>
      <c r="H173" s="46" t="inlineStr">
        <is>
          <t>Open</t>
        </is>
      </c>
      <c r="I173" s="46" t="inlineStr">
        <is>
          <t>No</t>
        </is>
      </c>
      <c r="J173" s="46" t="inlineStr">
        <is>
          <t>api/websocket/ is an empty placeholder.</t>
        </is>
      </c>
      <c r="K173" s="46" t="inlineStr"/>
      <c r="L173" s="46" t="inlineStr"/>
      <c r="M173" s="46" t="inlineStr">
        <is>
          <t>SIM-355</t>
        </is>
      </c>
      <c r="N173" s="46" t="inlineStr"/>
    </row>
    <row r="174">
      <c r="A174" s="46" t="inlineStr">
        <is>
          <t>SIM-372</t>
        </is>
      </c>
      <c r="B174" s="46" t="inlineStr">
        <is>
          <t>End-to-end /simulate latency perf gate (2s/30s SLA)</t>
        </is>
      </c>
      <c r="C174" s="46" t="inlineStr">
        <is>
          <t>Phase 5 — Testing</t>
        </is>
      </c>
      <c r="D174" s="46" t="inlineStr">
        <is>
          <t>Perf</t>
        </is>
      </c>
      <c r="E174" s="46" t="inlineStr">
        <is>
          <t>P2</t>
        </is>
      </c>
      <c r="F174" s="46" t="inlineStr">
        <is>
          <t>M</t>
        </is>
      </c>
      <c r="G174" s="46" t="inlineStr">
        <is>
          <t>Performance Engineer</t>
        </is>
      </c>
      <c r="H174" s="46" t="inlineStr">
        <is>
          <t>Open</t>
        </is>
      </c>
      <c r="I174" s="46" t="inlineStr">
        <is>
          <t>No</t>
        </is>
      </c>
      <c r="J174" s="46" t="inlineStr">
        <is>
          <t>Current bench skips the request path.</t>
        </is>
      </c>
      <c r="K174" s="46" t="inlineStr"/>
      <c r="L174" s="46" t="inlineStr"/>
      <c r="M174" s="46" t="inlineStr">
        <is>
          <t>SIM-352</t>
        </is>
      </c>
      <c r="N174" s="46" t="inlineStr"/>
    </row>
    <row r="175">
      <c r="A175" s="46" t="inlineStr">
        <is>
          <t>SIM-373</t>
        </is>
      </c>
      <c r="B175" s="46" t="inlineStr">
        <is>
          <t>nginx reverse proxy w/ WebSocket upgrade + dev/staging/prod env configs</t>
        </is>
      </c>
      <c r="C175" s="46" t="inlineStr">
        <is>
          <t>Phase 5 — Infra</t>
        </is>
      </c>
      <c r="D175" s="46" t="inlineStr">
        <is>
          <t>Infra</t>
        </is>
      </c>
      <c r="E175" s="46" t="inlineStr">
        <is>
          <t>P3</t>
        </is>
      </c>
      <c r="F175" s="46" t="inlineStr">
        <is>
          <t>M</t>
        </is>
      </c>
      <c r="G175" s="46" t="inlineStr">
        <is>
          <t>QA/DevOps</t>
        </is>
      </c>
      <c r="H175" s="46" t="inlineStr">
        <is>
          <t>Open</t>
        </is>
      </c>
      <c r="I175" s="46" t="inlineStr">
        <is>
          <t>No</t>
        </is>
      </c>
      <c r="J175" s="46" t="inlineStr"/>
      <c r="K175" s="46" t="inlineStr"/>
      <c r="L175" s="46" t="inlineStr"/>
      <c r="M175" s="46" t="inlineStr">
        <is>
          <t>SIM-354</t>
        </is>
      </c>
      <c r="N175" s="46" t="inlineStr"/>
    </row>
    <row r="176">
      <c r="A176" s="46" t="inlineStr">
        <is>
          <t>SIM-374</t>
        </is>
      </c>
      <c r="B176" s="46" t="inlineStr">
        <is>
          <t>Prometheus + Grafana monitoring (sim latency, API p95, pipeline freshness)</t>
        </is>
      </c>
      <c r="C176" s="46" t="inlineStr">
        <is>
          <t>Phase 5 — Infra</t>
        </is>
      </c>
      <c r="D176" s="46" t="inlineStr">
        <is>
          <t>Infra</t>
        </is>
      </c>
      <c r="E176" s="46" t="inlineStr">
        <is>
          <t>P3</t>
        </is>
      </c>
      <c r="F176" s="46" t="inlineStr">
        <is>
          <t>M</t>
        </is>
      </c>
      <c r="G176" s="46" t="inlineStr">
        <is>
          <t>QA/DevOps</t>
        </is>
      </c>
      <c r="H176" s="46" t="inlineStr">
        <is>
          <t>Open</t>
        </is>
      </c>
      <c r="I176" s="46" t="inlineStr">
        <is>
          <t>No</t>
        </is>
      </c>
      <c r="J176" s="46" t="inlineStr"/>
      <c r="K176" s="46" t="inlineStr"/>
      <c r="L176" s="46" t="inlineStr"/>
      <c r="M176" s="46" t="inlineStr">
        <is>
          <t>SIM-373</t>
        </is>
      </c>
      <c r="N176" s="46" t="inlineStr"/>
    </row>
    <row r="177">
      <c r="A177" s="46" t="inlineStr">
        <is>
          <t>SIM-375</t>
        </is>
      </c>
      <c r="B177" s="46" t="inlineStr">
        <is>
          <t>Fix docker-compose.yml to mount ./simulation + remove the dead simulator/ package</t>
        </is>
      </c>
      <c r="C177" s="46" t="inlineStr">
        <is>
          <t>Phase 5 — Infra</t>
        </is>
      </c>
      <c r="D177" s="46" t="inlineStr">
        <is>
          <t>Bug</t>
        </is>
      </c>
      <c r="E177" s="46" t="inlineStr">
        <is>
          <t>P3</t>
        </is>
      </c>
      <c r="F177" s="46" t="inlineStr">
        <is>
          <t>S</t>
        </is>
      </c>
      <c r="G177" s="46" t="inlineStr">
        <is>
          <t>Data Engineer · QA/DevOps</t>
        </is>
      </c>
      <c r="H177" s="46" t="inlineStr">
        <is>
          <t>Closed</t>
        </is>
      </c>
      <c r="I177" s="46" t="inlineStr">
        <is>
          <t>No</t>
        </is>
      </c>
      <c r="J177" s="46" t="inlineStr">
        <is>
          <t>Compose mounted the empty ./simulator stub.</t>
        </is>
      </c>
      <c r="K177" s="46" t="inlineStr">
        <is>
          <t>compose mounts ./simulation; Dockerfile copies simulation/+betting/; simulator/ deleted.</t>
        </is>
      </c>
      <c r="L177" s="46" t="inlineStr"/>
      <c r="M177" s="46" t="inlineStr">
        <is>
          <t>Closed 2026-05-24 (Sprint 1).</t>
        </is>
      </c>
    </row>
    <row r="178">
      <c r="A178" s="46" t="inlineStr">
        <is>
          <t>SIM-376</t>
        </is>
      </c>
      <c r="B178" s="46" t="inlineStr">
        <is>
          <t>Add api/ to the coverage gate (pyproject source + ci --cov=api)</t>
        </is>
      </c>
      <c r="C178" s="46" t="inlineStr">
        <is>
          <t>Phase 5 — Infra</t>
        </is>
      </c>
      <c r="D178" s="46" t="inlineStr">
        <is>
          <t>Bug</t>
        </is>
      </c>
      <c r="E178" s="46" t="inlineStr">
        <is>
          <t>P3</t>
        </is>
      </c>
      <c r="F178" s="46" t="inlineStr">
        <is>
          <t>S</t>
        </is>
      </c>
      <c r="G178" s="46" t="inlineStr">
        <is>
          <t>QA/DevOps</t>
        </is>
      </c>
      <c r="H178" s="46" t="inlineStr">
        <is>
          <t>Closed</t>
        </is>
      </c>
      <c r="I178" s="46" t="inlineStr">
        <is>
          <t>No</t>
        </is>
      </c>
      <c r="J178" s="46" t="inlineStr">
        <is>
          <t>Only the Makefile measured api/ coverage.</t>
        </is>
      </c>
      <c r="K178" s="46" t="inlineStr">
        <is>
          <t>pyproject source += api; ci --cov=api.</t>
        </is>
      </c>
      <c r="L178" s="46" t="inlineStr"/>
      <c r="M178" s="46" t="inlineStr">
        <is>
          <t>Closed 2026-05-24 (Sprint 1).</t>
        </is>
      </c>
    </row>
    <row r="179">
      <c r="A179" s="46" t="inlineStr">
        <is>
          <t>SIM-377</t>
        </is>
      </c>
      <c r="B179" s="46" t="inlineStr">
        <is>
          <t>Fix/remove GameSpec._hit_rate (factory reads it but simulate_game has no **kwargs → TypeError)</t>
        </is>
      </c>
      <c r="C179" s="46" t="inlineStr">
        <is>
          <t>Phase 5 — Infra</t>
        </is>
      </c>
      <c r="D179" s="46" t="inlineStr">
        <is>
          <t>Bug</t>
        </is>
      </c>
      <c r="E179" s="46" t="inlineStr">
        <is>
          <t>P3</t>
        </is>
      </c>
      <c r="F179" s="46" t="inlineStr">
        <is>
          <t>S</t>
        </is>
      </c>
      <c r="G179" s="46" t="inlineStr">
        <is>
          <t>Backend Developer</t>
        </is>
      </c>
      <c r="H179" s="46" t="inlineStr">
        <is>
          <t>Closed</t>
        </is>
      </c>
      <c r="I179" s="46" t="inlineStr">
        <is>
          <t>No</t>
        </is>
      </c>
      <c r="J179" s="46" t="inlineStr">
        <is>
          <t>_hit_rate splatted into simulate_game raised TypeError.</t>
        </is>
      </c>
      <c r="K179" s="46" t="inlineStr">
        <is>
          <t>_run_one filters _-prefixed factory-only keys.</t>
        </is>
      </c>
      <c r="L179" s="46" t="inlineStr"/>
      <c r="M179" s="46" t="inlineStr">
        <is>
          <t>Closed 2026-05-24 (Sprint 1). 7 tests.</t>
        </is>
      </c>
    </row>
  </sheetData>
  <autoFilter ref="A1:M9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1">
    <outlinePr summaryBelow="1" summaryRight="1"/>
    <pageSetUpPr fitToPage="0"/>
  </sheetPr>
  <dimension ref="A1:M6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71484375" defaultRowHeight="15" customHeight="0" zeroHeight="0" outlineLevelRow="0"/>
  <cols>
    <col width="11" customWidth="1" style="46" min="1" max="1"/>
    <col width="50" customWidth="1" style="46" min="2" max="2"/>
    <col width="18" customWidth="1" style="46" min="3" max="3"/>
    <col width="16" customWidth="1" style="46" min="4" max="4"/>
    <col width="10" customWidth="1" style="46" min="5" max="5"/>
    <col width="18" customWidth="1" style="46" min="6" max="6"/>
    <col width="32" customWidth="1" style="46" min="7" max="7"/>
    <col width="12" customWidth="1" style="46" min="8" max="8"/>
    <col width="9" customWidth="1" style="46" min="9" max="9"/>
    <col width="50" customWidth="1" style="46" min="10" max="11"/>
    <col width="30" customWidth="1" style="46" min="12" max="12"/>
    <col width="35" customWidth="1" style="46" min="13" max="13"/>
  </cols>
  <sheetData>
    <row r="1" ht="30" customHeight="1" s="47">
      <c r="A1" s="83" t="inlineStr">
        <is>
          <t>Ticket ID</t>
        </is>
      </c>
      <c r="B1" s="83" t="inlineStr">
        <is>
          <t>Title</t>
        </is>
      </c>
      <c r="C1" s="83" t="inlineStr">
        <is>
          <t>Category</t>
        </is>
      </c>
      <c r="D1" s="83" t="inlineStr">
        <is>
          <t>Type</t>
        </is>
      </c>
      <c r="E1" s="83" t="inlineStr">
        <is>
          <t>Priority</t>
        </is>
      </c>
      <c r="F1" s="83" t="inlineStr">
        <is>
          <t>Size</t>
        </is>
      </c>
      <c r="G1" s="83" t="inlineStr">
        <is>
          <t>Assignee Role</t>
        </is>
      </c>
      <c r="H1" s="83" t="inlineStr">
        <is>
          <t>Status</t>
        </is>
      </c>
      <c r="I1" s="83" t="inlineStr">
        <is>
          <t>Blocked</t>
        </is>
      </c>
      <c r="J1" s="83" t="inlineStr">
        <is>
          <t>Description/Problem Statement</t>
        </is>
      </c>
      <c r="K1" s="83" t="inlineStr">
        <is>
          <t>Acceptance Criteria</t>
        </is>
      </c>
      <c r="L1" s="83" t="inlineStr">
        <is>
          <t>Dependencies</t>
        </is>
      </c>
      <c r="M1" s="83" t="inlineStr">
        <is>
          <t>Notes/Rationale</t>
        </is>
      </c>
    </row>
    <row r="2" ht="135.75" customHeight="1" s="47">
      <c r="A2" s="84" t="inlineStr">
        <is>
          <t>SIM-051</t>
        </is>
      </c>
      <c r="B2" s="84" t="inlineStr">
        <is>
          <t>Pre-compute pull_relative_spray_angle in sim.outcome_pool at ETL time</t>
        </is>
      </c>
      <c r="C2" s="84" t="inlineStr">
        <is>
          <t>Schema / ETL</t>
        </is>
      </c>
      <c r="D2" s="84" t="inlineStr">
        <is>
          <t>Improvement</t>
        </is>
      </c>
      <c r="E2" s="85" t="inlineStr">
        <is>
          <t>P1</t>
        </is>
      </c>
      <c r="F2" s="84" t="inlineStr">
        <is>
          <t>S (1–2 days)</t>
        </is>
      </c>
      <c r="G2" s="84" t="inlineStr">
        <is>
          <t>Data Engineer</t>
        </is>
      </c>
      <c r="H2" s="87" t="inlineStr">
        <is>
          <t>Closed</t>
        </is>
      </c>
      <c r="I2" s="84" t="inlineStr">
        <is>
          <t>No</t>
        </is>
      </c>
      <c r="J2" s="84" t="inlineStr">
        <is>
          <t>Raw spray_angle is directionally biased by batter handedness. LHB pull doubles and RHB pull doubles are physically similar but have opposite spray angle signs. The FAISS batted ball engine must index on pull-relative spray angle. This must be pre-computed at ETL time, not transformed at query time for every lookup.</t>
        </is>
      </c>
      <c r="K2" s="84" t="inlineStr">
        <is>
          <t>1. Add pull_relative_spray_angle FLOAT column to sim.outcome_pool (DuckDB migration).
2. Populate in _build_outcome_pool(): CASE WHEN stand='R' THEN spray_angle WHEN stand='L' THEN -spray_angle ELSE CASE WHEN bat_hand='R' THEN spray_angle ELSE -spray_angle END END.
3. Use bat_hand column for switch hitters (records actual handedness on that pitch).
4. Unit test: LHB pull double and RHB pull double with identical exit_velo/launch_angle should have pull_relative_spray_angle values within 5 degrees of each other.</t>
        </is>
      </c>
      <c r="L2" s="84" t="inlineStr">
        <is>
          <t>SIM-084 (DuckDB migration pattern via Alembic/DuckDB versioning)</t>
        </is>
      </c>
      <c r="M2" s="84" t="inlineStr">
        <is>
          <t>Blocks SIM-042. Must land before the batted ball FAISS index is built.</t>
        </is>
      </c>
    </row>
    <row r="3" ht="135.75" customHeight="1" s="47">
      <c r="A3" s="84" t="inlineStr">
        <is>
          <t>SIM-063</t>
        </is>
      </c>
      <c r="B3" s="84" t="inlineStr">
        <is>
          <t>Add effective_date and prior_seasons_factor to park_factors — extended with DE schema work</t>
        </is>
      </c>
      <c r="C3" s="84" t="inlineStr">
        <is>
          <t>Schema / ETL</t>
        </is>
      </c>
      <c r="D3" s="84" t="inlineStr">
        <is>
          <t>Feature</t>
        </is>
      </c>
      <c r="E3" s="85" t="inlineStr">
        <is>
          <t>P1</t>
        </is>
      </c>
      <c r="F3" s="84" t="inlineStr">
        <is>
          <t>M (3–5 days)</t>
        </is>
      </c>
      <c r="G3" s="84" t="inlineStr">
        <is>
          <t>Data Engineer</t>
        </is>
      </c>
      <c r="H3" s="87" t="inlineStr">
        <is>
          <t>Open</t>
        </is>
      </c>
      <c r="I3" s="84" t="inlineStr">
        <is>
          <t>No</t>
        </is>
      </c>
      <c r="J3" s="84" t="inlineStr">
        <is>
          <t>Current park_factors PRIMARY KEY (venue_id, season, factor_type) prevents representing mid-season park renovations and early-season thin samples. DuckDB requires a CREATE-INSERT-DROP-RENAME pattern to ALTER PRIMARY KEY since ALTER TABLE ADD PRIMARY KEY is unsupported.</t>
        </is>
      </c>
      <c r="K3" s="84" t="inlineStr">
        <is>
          <t>1. Alter PRIMARY KEY to (venue_id, season, factor_type, effective_date). DuckDB implementation: CREATE new table with correct PK → INSERT SELECT from old → DROP old → RENAME new.
2. Add effective_date DATE NOT NULL DEFAULT '2000-01-01' (full-season baseline).
3. Add prior_seasons_factor FLOAT: weighted average of regressed_factor across prior 3 seasons for same venue/factor_type. Computed in _compute_park_factors().
4. Deliver as numbered DuckDB migration file.
5. Sequence: SIM-063 first (PRIMARY KEY change), then SIM-094 (adds directional HR distance columns).</t>
        </is>
      </c>
      <c r="L3" s="84" t="inlineStr">
        <is>
          <t>SIM-084 (DuckDB migration versioning)</t>
        </is>
      </c>
      <c r="M3" s="84" t="inlineStr">
        <is>
          <t>Must complete before SIM-094 (directional HR distances) — both modify park_factors; PK change first.</t>
        </is>
      </c>
    </row>
    <row r="4" ht="135.75" customHeight="1" s="47">
      <c r="A4" s="84" t="inlineStr">
        <is>
          <t>SIM-074</t>
        </is>
      </c>
      <c r="B4" s="84" t="inlineStr">
        <is>
          <t>Fix barrel_rate computation — implement full Statcast sliding-scale definition</t>
        </is>
      </c>
      <c r="C4" s="84" t="inlineStr">
        <is>
          <t>Schema / ETL</t>
        </is>
      </c>
      <c r="D4" s="84" t="inlineStr">
        <is>
          <t>Bug</t>
        </is>
      </c>
      <c r="E4" s="85" t="inlineStr">
        <is>
          <t>P1</t>
        </is>
      </c>
      <c r="F4" s="84" t="inlineStr">
        <is>
          <t>S (1–2 days)</t>
        </is>
      </c>
      <c r="G4" s="84" t="inlineStr">
        <is>
          <t>Data Engineer</t>
        </is>
      </c>
      <c r="H4" s="87" t="inlineStr">
        <is>
          <t>Closed</t>
        </is>
      </c>
      <c r="I4" s="84" t="inlineStr">
        <is>
          <t>No</t>
        </is>
      </c>
      <c r="J4" s="84" t="inlineStr">
        <is>
          <t>The current barrel definition (exit_velo &gt;= 98 AND launch_angle 26-30 degrees) uses a tight fixed band. Statcast's actual barrel definition is a sliding scale: required LA decreases as EV increases above 98 mph. This produces barrel rates substantially lower than published Statcast values, biasing power profiles.</t>
        </is>
      </c>
      <c r="K4" s="84" t="inlineStr">
        <is>
          <t>1. Replace fixed-band definition with sliding-scale lookup table: at 98 mph LA must be 26-30°; at 100 mph 24-33°; at 110 mph 17-41°; at 116+ mph 8-50°. Implement as linear interpolation between anchor points.
2. Verify: recalculate barrel_rate for 10 known players (e.g., Aaron Judge, Shohei Ohtani) and confirm within 0.5% of published Baseball Savant barrel rates.
3. Update avg_launch_angle computation (suspected NULL gap) — confirm it is populated in derived.batter_season_metrics.
4. Re-run batter profile computor; confirm barrel_rate column no longer systematically lower than Savant leaderboard.</t>
        </is>
      </c>
      <c r="L4" s="84" t="inlineStr">
        <is>
          <t>None</t>
        </is>
      </c>
      <c r="M4" s="84" t="inlineStr">
        <is>
          <t>Affects power sub-score and HR prop calibration. Also confirms avg_launch_angle is populated.</t>
        </is>
      </c>
    </row>
    <row r="5" ht="147" customHeight="1" s="47">
      <c r="A5" s="84" t="inlineStr">
        <is>
          <t>SIM-077</t>
        </is>
      </c>
      <c r="B5" s="84" t="inlineStr">
        <is>
          <t>Join raw.sprint_speed into baserunner and fielder profile computations — replace proxy and hardcoded defaults</t>
        </is>
      </c>
      <c r="C5" s="84" t="inlineStr">
        <is>
          <t>Schema / ETL</t>
        </is>
      </c>
      <c r="D5" s="84" t="inlineStr">
        <is>
          <t>Bug</t>
        </is>
      </c>
      <c r="E5" s="85" t="inlineStr">
        <is>
          <t>P1</t>
        </is>
      </c>
      <c r="F5" s="84" t="inlineStr">
        <is>
          <t>S (1–2 days)</t>
        </is>
      </c>
      <c r="G5" s="84" t="inlineStr">
        <is>
          <t>Data Engineer</t>
        </is>
      </c>
      <c r="H5" s="87" t="inlineStr">
        <is>
          <t>Open</t>
        </is>
      </c>
      <c r="I5" s="84" t="inlineStr">
        <is>
          <t>No</t>
        </is>
      </c>
      <c r="J5" s="84" t="inlineStr">
        <is>
          <t>raw.sprint_speed exists and is populated by etl_sprint_speed_loader.py, but is never joined in any profile computation. The baserunner profile computor uses an inverted proxy formula (measures outcome success, not speed). The fielder computor uses DEFAULT_SPRINT_SPEED_FPS=27.0 (one speed for every batter in the league). Both are wrong and the fix data exists in the database.</t>
        </is>
      </c>
      <c r="K5" s="84" t="inlineStr">
        <is>
          <t>1. In _compute_baserunner_profiles(): LEFT JOIN pg.raw.sprint_speed ss ON ss.player_id = runner_id AND ss.season. Use ss.sprint_speed as the primary value, NULL fallback (not the proxy formula). Track sprint_speed_source='measured'|'null'.
2. In _compute_infield_oaa() and _compute_outfield_catch_probability(): LEFT JOIN pg.raw.sprint_speed for batter sprint speeds; replace DEFAULT_SPRINT_SPEED_FPS=27.0.
3. Assertion: sprint_speed_source='measured' coverage &gt; 80% for 2022-2025 seasons.
4. Unit test: a profile using measured sprint_speed differs in Speed sub-score from one using the proxy formula.</t>
        </is>
      </c>
      <c r="L5" s="84" t="inlineStr">
        <is>
          <t>etl_sprint_speed_loader.py must have been run for 2022-2025</t>
        </is>
      </c>
      <c r="M5" s="84" t="inlineStr">
        <is>
          <t>The sprint speed table was built specifically to fix this — it's just not wired in yet.</t>
        </is>
      </c>
    </row>
    <row r="6" ht="147" customHeight="1" s="47">
      <c r="A6" s="84" t="inlineStr">
        <is>
          <t>SIM-090</t>
        </is>
      </c>
      <c r="B6" s="84" t="inlineStr">
        <is>
          <t>Replace per-game psycopg2 connect/close with connection pool in ETL</t>
        </is>
      </c>
      <c r="C6" s="84" t="inlineStr">
        <is>
          <t>Schema / ETL</t>
        </is>
      </c>
      <c r="D6" s="84" t="inlineStr">
        <is>
          <t>Improvement</t>
        </is>
      </c>
      <c r="E6" s="85" t="inlineStr">
        <is>
          <t>P1</t>
        </is>
      </c>
      <c r="F6" s="84" t="inlineStr">
        <is>
          <t>M (3–5 days)</t>
        </is>
      </c>
      <c r="G6" s="84" t="inlineStr">
        <is>
          <t>Data Engineer</t>
        </is>
      </c>
      <c r="H6" s="87" t="inlineStr">
        <is>
          <t>Closed</t>
        </is>
      </c>
      <c r="I6" s="84" t="inlineStr">
        <is>
          <t>No</t>
        </is>
      </c>
      <c r="J6" s="84" t="inlineStr">
        <is>
          <t>Each call to _get_conn() opens and closes a new psycopg2.connect() connection. For a full-season backfill of ~2,400 games, this is 2,400 sequential connection handshakes adding 24-120 seconds of pure TCP overhead. The freshness upsert adds a second open/close per game.</t>
        </is>
      </c>
      <c r="K6" s="84" t="inlineStr">
        <is>
          <t>1. Replace with psycopg2.pool.ThreadedConnectionPool(minconn=2, maxconn=10) initialized in HistoricalDataLoader.__init__().
2. Refactor _get_conn() context manager to acquire from pool and release on exit.
3. Pass a single connection through _process_and_insert() and _log_freshness() to eliminate the double open/close per game.
4. For Phase 5 async compatibility: note that asyncpg should replace psycopg2 throughout the ETL during Phase 5 migration — keep as psycopg2 pool for now.
5. Benchmark: full-season backfill completes at least 20% faster.</t>
        </is>
      </c>
      <c r="L6" s="84" t="inlineStr">
        <is>
          <t>None</t>
        </is>
      </c>
      <c r="M6" s="84" t="inlineStr">
        <is>
          <t>Deferred from current sprint — useful but not blocking Phase 2 completion.</t>
        </is>
      </c>
    </row>
    <row r="7" ht="135.75" customHeight="1" s="47">
      <c r="A7" s="84" t="inlineStr">
        <is>
          <t>SIM-095</t>
        </is>
      </c>
      <c r="B7" s="84" t="inlineStr">
        <is>
          <t>Implement incremental pitch_pool and outcome_pool rebuild — replace nightly full delete+reinsert</t>
        </is>
      </c>
      <c r="C7" s="84" t="inlineStr">
        <is>
          <t>Schema / ETL</t>
        </is>
      </c>
      <c r="D7" s="84" t="inlineStr">
        <is>
          <t>Improvement</t>
        </is>
      </c>
      <c r="E7" s="88" t="inlineStr">
        <is>
          <t>P2</t>
        </is>
      </c>
      <c r="F7" s="84" t="inlineStr">
        <is>
          <t>M (3–5 days)</t>
        </is>
      </c>
      <c r="G7" s="84" t="inlineStr">
        <is>
          <t>Data Engineer</t>
        </is>
      </c>
      <c r="H7" s="87" t="inlineStr">
        <is>
          <t>Closed</t>
        </is>
      </c>
      <c r="I7" s="84" t="inlineStr">
        <is>
          <t>No</t>
        </is>
      </c>
      <c r="J7" s="84" t="inlineStr">
        <is>
          <t>Nightly full pool rebuild deletes and re-inserts ~700K rows (current season). For a 4-season data set this is 2.8M+ rows, taking ~10 minutes nightly. The incremental path only inserts new rows where game_date &gt; last_built, reducing nightly cost to ~30 seconds.</t>
        </is>
      </c>
      <c r="K7" s="84" t="inlineStr">
        <is>
          <t>1. Add sim.pool_build_metadata table: key VARCHAR PK, value TEXT, updated_at TIMESTAMPTZ.
2. Track last_built_game_date per pool (pitch_pool, outcome_pool, stolen_base_pool).
3. When full_rebuild=False: INSERT only rows with game_date &gt; last_built_game_date; update last_built_game_date on success.
4. Full rebuild path (full_rebuild=True) unchanged.
5. Apply same incremental logic to _build_outcome_pool() and _build_stolen_base_pool().
6. Benchmark: nightly incremental for current season only &lt; 60 seconds.</t>
        </is>
      </c>
      <c r="L7" s="84" t="inlineStr">
        <is>
          <t>SIM-076 (pool_build_metadata table shared for recency weight tracking)</t>
        </is>
      </c>
      <c r="M7" s="84" t="inlineStr">
        <is>
          <t>Operational necessity once historical data grows — without this, nightly batch becomes untenable.</t>
        </is>
      </c>
    </row>
    <row r="8" ht="113.25" customHeight="1" s="47">
      <c r="A8" s="84" t="inlineStr">
        <is>
          <t>SIM-097</t>
        </is>
      </c>
      <c r="B8" s="84" t="inlineStr">
        <is>
          <t>Fix manager concurrent replacement race condition — add SELECT FOR UPDATE row lock</t>
        </is>
      </c>
      <c r="C8" s="84" t="inlineStr">
        <is>
          <t>Schema / ETL</t>
        </is>
      </c>
      <c r="D8" s="84" t="inlineStr">
        <is>
          <t>Bug</t>
        </is>
      </c>
      <c r="E8" s="88" t="inlineStr">
        <is>
          <t>P2</t>
        </is>
      </c>
      <c r="F8" s="84" t="inlineStr">
        <is>
          <t>S (&lt; 1 day)</t>
        </is>
      </c>
      <c r="G8" s="84" t="inlineStr">
        <is>
          <t>Data Engineer</t>
        </is>
      </c>
      <c r="H8" s="87" t="inlineStr">
        <is>
          <t>Open</t>
        </is>
      </c>
      <c r="I8" s="84" t="inlineStr">
        <is>
          <t>No</t>
        </is>
      </c>
      <c r="J8" s="84" t="inlineStr">
        <is>
          <t>In _ensure_managers(), when a new manager is detected, the code issues UPDATE (set season_end on old manager) then INSERT (new manager). Two concurrent workers processing games in parallel may both see the 'manager missing' state and both attempt the UPDATE + INSERT — producing a duplicate key violation or incorrect season_end date.</t>
        </is>
      </c>
      <c r="K8" s="84" t="inlineStr">
        <is>
          <t>1. Wrap UPDATE + INSERT in a single transaction with SELECT ... FOR UPDATE on the existing manager row before updating.
2. The FOR UPDATE lock ensures only one worker proceeds with the manager change.
3. Unit test: simulate two concurrent workers detecting the same missing manager; assert only one manager row is inserted and no duplicate key error occurs.
4. Only relevant for parallel season backfills — serial loads are unaffected.</t>
        </is>
      </c>
      <c r="L8" s="84" t="inlineStr">
        <is>
          <t>None</t>
        </is>
      </c>
      <c r="M8" s="84" t="inlineStr">
        <is>
          <t>Low urgency until parallel backfill is implemented. Deferred to Phase 5 async migration.</t>
        </is>
      </c>
    </row>
    <row r="9" ht="168.75" customHeight="1" s="47">
      <c r="A9" s="84" t="inlineStr">
        <is>
          <t>SIM-098</t>
        </is>
      </c>
      <c r="B9" s="84" t="inlineStr">
        <is>
          <t>Implement pipeline observability baseline: raw.pipeline_run_log, freshness staleness alert, Prometheus counters</t>
        </is>
      </c>
      <c r="C9" s="84" t="inlineStr">
        <is>
          <t>Infrastructure</t>
        </is>
      </c>
      <c r="D9" s="84" t="inlineStr">
        <is>
          <t>Gap</t>
        </is>
      </c>
      <c r="E9" s="85" t="inlineStr">
        <is>
          <t>P1</t>
        </is>
      </c>
      <c r="F9" s="84" t="inlineStr">
        <is>
          <t>M (3–5 days)</t>
        </is>
      </c>
      <c r="G9" s="84" t="inlineStr">
        <is>
          <t>Data Engineer</t>
        </is>
      </c>
      <c r="H9" s="87" t="inlineStr">
        <is>
          <t>Open</t>
        </is>
      </c>
      <c r="I9" s="84" t="inlineStr">
        <is>
          <t>No</t>
        </is>
      </c>
      <c r="J9" s="84" t="inlineStr">
        <is>
          <t>No monitoring infrastructure exists for the data pipeline. A nightly profile computor failure would not alert anyone. For a production betting platform with time-sensitive data freshness requirements, silent failures are unacceptable.</t>
        </is>
      </c>
      <c r="K9" s="84" t="inlineStr">
        <is>
          <t>1. Add raw.pipeline_run_log table: id, pipeline_name, started_at, finished_at, rows_inserted, rows_failed, exit_status CHECK ('success','partial','failed'), error_summary TEXT. Insert at start, update on completion/failure in all pipeline scripts.
2. Staleness check: daily scheduled query raises log.warning if MAX(last_date) in raw.etl_data_freshness is &gt; 2 days old.
3. Prometheus counters in player_profile_computor.py: rows_processed_total (counter), profile_compute_duration_seconds (histogram per step), below_minimum_sample_count (gauge per entity type).
4. Full Grafana dashboard deferred to Phase 7; instrumentation hooks must exist in Phase 5 so the dashboard has data to display.
5. Alembic migration for raw.pipeline_run_log.</t>
        </is>
      </c>
      <c r="L9" s="84" t="inlineStr">
        <is>
          <t>SIM-084 (Alembic)</t>
        </is>
      </c>
      <c r="M9" s="84" t="inlineStr">
        <is>
          <t>Instrumentation hooks must exist in Phase 5 — retrofitting monitoring after Phase 7 deploy is too late.</t>
        </is>
      </c>
    </row>
    <row r="10" hidden="1" ht="147" customHeight="1" s="47">
      <c r="A10" s="84" t="inlineStr">
        <is>
          <t>SIM-041</t>
        </is>
      </c>
      <c r="B10" s="84" t="inlineStr">
        <is>
          <t>Build pitch-to-pitch similarity engine (2.10) — FAISS flat index</t>
        </is>
      </c>
      <c r="C10" s="84" t="inlineStr">
        <is>
          <t>Similarity Engines</t>
        </is>
      </c>
      <c r="D10" s="84" t="inlineStr">
        <is>
          <t>Feature</t>
        </is>
      </c>
      <c r="E10" s="85" t="inlineStr">
        <is>
          <t>P1</t>
        </is>
      </c>
      <c r="F10" s="84" t="inlineStr">
        <is>
          <t>L (1–2 weeks)</t>
        </is>
      </c>
      <c r="G10" s="84" t="inlineStr">
        <is>
          <t>ML Engineer</t>
        </is>
      </c>
      <c r="H10" s="86" t="inlineStr">
        <is>
          <t>Shipped 2026-05-14 (sprint 2026-05-13)</t>
        </is>
      </c>
      <c r="I10" s="84" t="inlineStr">
        <is>
          <t>No</t>
        </is>
      </c>
      <c r="J10" s="84" t="inlineStr">
        <is>
          <t>Pitch-to-pitch similarity engine using FAISS flat index. Matches a query pitch (velocity, IVB, HB, spin rate, spin axis, release position, extension, plate location) to the most similar pitches in the pool. Powers the pitch selection step of the simulation loop (Phase 4 Step 2).</t>
        </is>
      </c>
      <c r="K10" s="84" t="inlineStr">
        <is>
          <t>1. FAISS IVFFlat index with nlist=512, nprobe=64 (per SIM-114 spec — NOT flat index).
2. Mandatory pre-filter: filter pitch pool to same pitcher_id + batter_handedness before FAISS query (reduces search from 1M to ~3,000 rows).
3. Features: velo, ivb, hb, spin_rate, spin_axis, release_x, release_z, release_ext, plate_x, plate_z.
4. Returns top-k similar pitches with combined_weight (pitch_similarity × recency_weight).
5. Unit tests: identical pitches score 1.0; orthogonal pitch types score &lt; 0.3; score symmetry; all scores in [0,1].
6. Benchmark: single query on pre-filtered ~3,000 row pool &lt; 0.15ms.</t>
        </is>
      </c>
      <c r="L10" s="84" t="inlineStr">
        <is>
          <t>SIM-071 (package structure), SIM-114 (FAISS design spec)</t>
        </is>
      </c>
      <c r="M10" s="84" t="inlineStr">
        <is>
          <t>Build order: this engine first (enables Phase 3 play pool testing).</t>
        </is>
      </c>
    </row>
    <row r="11" hidden="1" ht="113.25" customHeight="1" s="47">
      <c r="A11" s="84" t="inlineStr">
        <is>
          <t>SIM-042</t>
        </is>
      </c>
      <c r="B11" s="84" t="inlineStr">
        <is>
          <t>Build batted ball-to-batted ball similarity engine (2.11) — FAISS IVFFlat</t>
        </is>
      </c>
      <c r="C11" s="84" t="inlineStr">
        <is>
          <t>Similarity Engines</t>
        </is>
      </c>
      <c r="D11" s="84" t="inlineStr">
        <is>
          <t>Feature</t>
        </is>
      </c>
      <c r="E11" s="85" t="inlineStr">
        <is>
          <t>P1</t>
        </is>
      </c>
      <c r="F11" s="84" t="inlineStr">
        <is>
          <t>L (1–2 weeks)</t>
        </is>
      </c>
      <c r="G11" s="84" t="inlineStr">
        <is>
          <t>ML Engineer</t>
        </is>
      </c>
      <c r="H11" s="86" t="inlineStr">
        <is>
          <t>Shipped 2026-05-14 (sprint 2026-05-13)</t>
        </is>
      </c>
      <c r="I11" s="84" t="inlineStr">
        <is>
          <t>No</t>
        </is>
      </c>
      <c r="J11" s="84" t="inlineStr">
        <is>
          <t>Batted ball similarity engine using FAISS IVFFlat index. Matches a query batted ball (exit velo, launch angle, pull_relative_spray_angle, bb_type) to similar historical batted balls for fielding resolution in the simulation loop.</t>
        </is>
      </c>
      <c r="K11" s="84" t="inlineStr">
        <is>
          <t>1. FAISS IVFFlat index, same configuration as SIM-041.
2. Index on pull_relative_spray_angle (not raw spray_angle) — uses pre-computed column from sim.outcome_pool (SIM-051 prerequisite).
3. Features: exit_velo, launch_angle, pull_relative_spray_angle, bb_type (encoded).
4. Unit tests: same-direction HR vs opposite-field flyout score &lt; 0.3; identical batted balls score 1.0; LHB pull and RHB pull with same exit velo/launch angle score &gt;= 0.90.
5. Benchmark: single query &lt; 0.15ms on pre-filtered pool.</t>
        </is>
      </c>
      <c r="L11" s="84" t="inlineStr">
        <is>
          <t>SIM-051 (pull_relative_spray_angle column must exist), SIM-041 (FAISS pattern)</t>
        </is>
      </c>
      <c r="M11" s="84" t="inlineStr">
        <is>
          <t>Required for fielding resolution in Phase 4 Step 4.</t>
        </is>
      </c>
    </row>
    <row r="12" ht="147" customHeight="1" s="47">
      <c r="A12" s="84" t="inlineStr">
        <is>
          <t>SIM-044</t>
        </is>
      </c>
      <c r="B12" s="84" t="inlineStr">
        <is>
          <t>Build baserunner steal similarity engine (2.5)</t>
        </is>
      </c>
      <c r="C12" s="84" t="inlineStr">
        <is>
          <t>Similarity Engines</t>
        </is>
      </c>
      <c r="D12" s="84" t="inlineStr">
        <is>
          <t>Feature</t>
        </is>
      </c>
      <c r="E12" s="85" t="inlineStr">
        <is>
          <t>P1</t>
        </is>
      </c>
      <c r="F12" s="84" t="inlineStr">
        <is>
          <t>M (3–5 days)</t>
        </is>
      </c>
      <c r="G12" s="84" t="inlineStr">
        <is>
          <t>ML Engineer</t>
        </is>
      </c>
      <c r="H12" s="87" t="inlineStr">
        <is>
          <t>Open</t>
        </is>
      </c>
      <c r="I12" s="84" t="inlineStr">
        <is>
          <t>No</t>
        </is>
      </c>
      <c r="J12" s="84" t="inlineStr">
        <is>
          <t>Separate from the extra-base advancement engine (already built), this engine scores baserunner-to-baserunner similarity specifically for stolen base decisions: sprint speed, historical SB attempt rate, success rate, and pickoff evasion. Powers Phase 4 Step 1 (steal determination).</t>
        </is>
      </c>
      <c r="K12" s="84" t="inlineStr">
        <is>
          <t>1. RBF kernel, EB shrinkage, reliability weights matching other engine patterns.
2. Features: sprint_speed, sb_attempt_rate, sb_success_rate, cs_rate.
3. Sprint speed sourced from raw.sprint_speed (measured) with proxy fallback.
4. Profiles with below_minimum_sample MUST load (apply EB shrinkage, do not exclude).
5. Unit tests: fast runners with high success rate score highly together; slow runners with low attempt rate score &lt; 0.3 with fast runners.
6. query() returns results for a rookie with only 3 SB attempts (EB shrinkage).</t>
        </is>
      </c>
      <c r="L12" s="84" t="inlineStr">
        <is>
          <t>SIM-071, SIM-070 (below_minimum_sample fix), SIM-077 (sprint speed)</t>
        </is>
      </c>
      <c r="M12" s="84" t="inlineStr">
        <is>
          <t>Distinct from baserunner extra-base engine — steal-specific features and use case.</t>
        </is>
      </c>
    </row>
    <row r="13" ht="102" customHeight="1" s="47">
      <c r="A13" s="84" t="inlineStr">
        <is>
          <t>SIM-045</t>
        </is>
      </c>
      <c r="B13" s="84" t="inlineStr">
        <is>
          <t>Build pitcher-allowing-steals similarity engine (2.7)</t>
        </is>
      </c>
      <c r="C13" s="84" t="inlineStr">
        <is>
          <t>Similarity Engines</t>
        </is>
      </c>
      <c r="D13" s="84" t="inlineStr">
        <is>
          <t>Feature</t>
        </is>
      </c>
      <c r="E13" s="85" t="inlineStr">
        <is>
          <t>P1</t>
        </is>
      </c>
      <c r="F13" s="84" t="inlineStr">
        <is>
          <t>M (3–5 days)</t>
        </is>
      </c>
      <c r="G13" s="84" t="inlineStr">
        <is>
          <t>ML Engineer</t>
        </is>
      </c>
      <c r="H13" s="87" t="inlineStr">
        <is>
          <t>Open</t>
        </is>
      </c>
      <c r="I13" s="84" t="inlineStr">
        <is>
          <t>No</t>
        </is>
      </c>
      <c r="J13" s="84" t="inlineStr">
        <is>
          <t>Pitcher-to-pitcher similarity specifically for stolen base context: how similar is this pitcher's delivery to others in terms of allowing baserunners to run? Features: stretch timing, slide step usage, pickoff attempt rate, pickoff success rate, historical SB attempts allowed per runner opportunity.</t>
        </is>
      </c>
      <c r="K13" s="84" t="inlineStr">
        <is>
          <t>1. Features as per SIM-059 revised spec: stretch_time, slide_step_rate, pickoff_attempt_rate, pickoff_success_rate, sb_attempts_allowed_per_opp.
2. RBF kernel with EB shrinkage. Minimum sample threshold: 50 runner opportunities.
3. Separate handedness partitions (LHP/RHP have different pickoff mechanics).
4. Unit tests: pitchers known for quick deliveries score highly together; deliberate delivery pitchers cluster separately.</t>
        </is>
      </c>
      <c r="L13" s="84" t="inlineStr">
        <is>
          <t>SIM-071, SIM-059 (revised feature set spec)</t>
        </is>
      </c>
      <c r="M13" s="84" t="inlineStr">
        <is>
          <t>Feed into Phase 4 Step 1 steal attempt probability.</t>
        </is>
      </c>
    </row>
    <row r="14" ht="135.75" customHeight="1" s="47">
      <c r="A14" s="84" t="inlineStr">
        <is>
          <t>SIM-047</t>
        </is>
      </c>
      <c r="B14" s="84" t="inlineStr">
        <is>
          <t>Build situation-to-situation similarity engine (2.9) — KDTree</t>
        </is>
      </c>
      <c r="C14" s="84" t="inlineStr">
        <is>
          <t>Similarity Engines</t>
        </is>
      </c>
      <c r="D14" s="84" t="inlineStr">
        <is>
          <t>Feature</t>
        </is>
      </c>
      <c r="E14" s="85" t="inlineStr">
        <is>
          <t>P1</t>
        </is>
      </c>
      <c r="F14" s="84" t="inlineStr">
        <is>
          <t>M (3–5 days)</t>
        </is>
      </c>
      <c r="G14" s="84" t="inlineStr">
        <is>
          <t>ML Engineer</t>
        </is>
      </c>
      <c r="H14" s="87" t="inlineStr">
        <is>
          <t>Open</t>
        </is>
      </c>
      <c r="I14" s="84" t="inlineStr">
        <is>
          <t>No</t>
        </is>
      </c>
      <c r="J14" s="84" t="inlineStr">
        <is>
          <t>Situation similarity engine using KDTree (small feature space, no FAISS needed). Features: count (balls, strikes), outs, runners_state (bitmask 0-7), score_diff (capped ±5), inning, leverage_index. Returns similar historical situations as a cross-cutting weight modifier applied to other engines' scores.</t>
        </is>
      </c>
      <c r="K14" s="84" t="inlineStr">
        <is>
          <t>1. scikit-learn BallTree or KDTree. Euclidean metric on normalized features.
2. Features: balls, strikes, outs, runners_state (bitmask normalized 0-1), score_diff (capped ±5, normalized), inning (normalized 1-9+), leverage_index.
3. Z-score normalization with EB shrinkage toward mean situation.
4. Unit tests: tie game 9th inning bases loaded 2 outs scores highly with similar high-leverage situations; 1st inning 0-0 scores poorly against 9th inning scenarios.
5. Requires SIM-085 (situation composite index) for efficient DB queries.</t>
        </is>
      </c>
      <c r="L14" s="84" t="inlineStr">
        <is>
          <t>SIM-071, SIM-085 (situation index), SIM-058 (LI lookup table for features)</t>
        </is>
      </c>
      <c r="M14" s="84" t="inlineStr">
        <is>
          <t>Cross-cutting weight modifier — used to adjust all other engine weights by game situation.</t>
        </is>
      </c>
    </row>
    <row r="15" ht="90.75" customHeight="1" s="47">
      <c r="A15" s="84" t="inlineStr">
        <is>
          <t>SIM-050</t>
        </is>
      </c>
      <c r="B15" s="84" t="inlineStr">
        <is>
          <t>Merge fielder diagnostics into similarity_diagnostics.py — fix silent CI failure</t>
        </is>
      </c>
      <c r="C15" s="84" t="inlineStr">
        <is>
          <t>Similarity Engines</t>
        </is>
      </c>
      <c r="D15" s="84" t="inlineStr">
        <is>
          <t>Bug</t>
        </is>
      </c>
      <c r="E15" s="85" t="inlineStr">
        <is>
          <t>P1</t>
        </is>
      </c>
      <c r="F15" s="84" t="inlineStr">
        <is>
          <t>S (&lt; 1 day)</t>
        </is>
      </c>
      <c r="G15" s="84" t="inlineStr">
        <is>
          <t>ML Engineer</t>
        </is>
      </c>
      <c r="H15" s="87" t="inlineStr">
        <is>
          <t>Open</t>
        </is>
      </c>
      <c r="I15" s="84" t="inlineStr">
        <is>
          <t>No</t>
        </is>
      </c>
      <c r="J15" s="84" t="inlineStr">
        <is>
          <t>Fielder diagnostics live in fielder_diagnostics_ext.py and are not called from the shared CLI. Running 'python similarity_diagnostics.py' produces exit code 0 even with a broken fielder engine. total_flags is computed without fielder flags, silently passing any CI check that calls this script.</t>
        </is>
      </c>
      <c r="K15" s="84" t="inlineStr">
        <is>
          <t>1. Merge fielder_diagnostics_ext.py content into similarity_diagnostics.py.
2. Wire fielder_report.n_flags into total_flags in the CLI main block.
3. Verify: 'python similarity_diagnostics.py' returns exit code 1 when the fielder engine has flags.
4. Prerequisite for SIM-154 (model regression CI gate) to cover all engines.</t>
        </is>
      </c>
      <c r="L15" s="84" t="inlineStr">
        <is>
          <t>None</t>
        </is>
      </c>
      <c r="M15" s="84" t="inlineStr">
        <is>
          <t>CI regression gate (SIM-154) is incomplete until this is fixed.</t>
        </is>
      </c>
    </row>
    <row r="16" hidden="1" ht="157.5" customHeight="1" s="47">
      <c r="A16" s="84" t="inlineStr">
        <is>
          <t>SIM-072</t>
        </is>
      </c>
      <c r="B16" s="84" t="inlineStr">
        <is>
          <t>CatcherSimilarityEngine v2 — split throwing into Execution + Deterrence</t>
        </is>
      </c>
      <c r="C16" s="84" t="inlineStr">
        <is>
          <t>Similarity Engines</t>
        </is>
      </c>
      <c r="D16" s="84" t="inlineStr">
        <is>
          <t>Enhancement</t>
        </is>
      </c>
      <c r="E16" s="85" t="inlineStr">
        <is>
          <t>P1</t>
        </is>
      </c>
      <c r="F16" s="84" t="inlineStr">
        <is>
          <t>M (3–5 days)</t>
        </is>
      </c>
      <c r="G16" s="84" t="inlineStr">
        <is>
          <t>ML Engineer</t>
        </is>
      </c>
      <c r="H16" s="86" t="inlineStr">
        <is>
          <t>Shipped 2026-05-14 (sprint 2026-05-13)</t>
        </is>
      </c>
      <c r="I16" s="84" t="inlineStr">
        <is>
          <t>No</t>
        </is>
      </c>
      <c r="J16" s="84" t="inlineStr">
        <is>
          <t>Carry-forward of the Baseball Analyst pushback memo from sprint 2026-05-06: the v1 catcher engine bundles pop time, CS rate, exchange and arm strength into one 20% Throwing dimension. Elite-arm catchers who rarely get challenged collapse into the league mean because the CS-rate denominator goes near zero, so the engine could not distinguish 'great arm, nobody runs' from 'no arm, everyone runs and succeeds'.</t>
        </is>
      </c>
      <c r="K16" s="84" t="inlineStr">
        <is>
          <t>1. New deterrence_score field on CatcherSimilarityResult (8 % weight).
2. Existing throwing_score reduced to 12 % weight; same four execution features.
3. deterrence_score uses steal_attempt_rate_against as its sole feature.
4. Composite weights sum to 1.0: Framing 45 + Blocking 20 + Execution 12 + Deterrence 8 + Offense 15 = 100.
5. EB_N_PRIOR=15 retained.
6. Regression fixtures regenerated.
7. TestWeightConstants updated for the 5-sub-score scheme.
8. Synthetic high-deterrence/low-execution vs inverse must score &lt; 0.40.</t>
        </is>
      </c>
      <c r="L16" s="84" t="inlineStr">
        <is>
          <t>SIM-073 (data dependency)</t>
        </is>
      </c>
      <c r="M16" s="84" t="inlineStr">
        <is>
          <t>Supersedes the composite weight scheme from SIM-067.</t>
        </is>
      </c>
    </row>
    <row r="17" hidden="1" ht="147" customHeight="1" s="47">
      <c r="A17" s="84" t="inlineStr">
        <is>
          <t>SIM-073</t>
        </is>
      </c>
      <c r="B17" s="84" t="inlineStr">
        <is>
          <t>Add steal_attempt_rate_against column to derived.catcher_season_metrics</t>
        </is>
      </c>
      <c r="C17" s="84" t="inlineStr">
        <is>
          <t>Schema / ETL</t>
        </is>
      </c>
      <c r="D17" s="84" t="inlineStr">
        <is>
          <t>Gap</t>
        </is>
      </c>
      <c r="E17" s="85" t="inlineStr">
        <is>
          <t>P1</t>
        </is>
      </c>
      <c r="F17" s="84" t="inlineStr">
        <is>
          <t>S (1–2 days)</t>
        </is>
      </c>
      <c r="G17" s="84" t="inlineStr">
        <is>
          <t>Data Engineer</t>
        </is>
      </c>
      <c r="H17" s="86" t="inlineStr">
        <is>
          <t>Shipped 2026-05-14 (sprint 2026-05-13)</t>
        </is>
      </c>
      <c r="I17" s="84" t="inlineStr">
        <is>
          <t>No</t>
        </is>
      </c>
      <c r="J17" s="84" t="inlineStr">
        <is>
          <t>SIM-072 v2 needs a Deterrence sub-score driven by the rate at which opposing runners attempt to steal against this catcher per PA opportunity. Column doesn't exist yet on the derived table.</t>
        </is>
      </c>
      <c r="K17" s="84" t="inlineStr">
        <is>
          <t>1. New column steal_attempt_rate_against FLOAT on derived.catcher_season_metrics.
2. Numbered DuckDB migration 0002_catcher_attempt_rate_against.sql.
3. duckdb_schema_version.txt incremented to 2.
4. Schema source file updated.
5. _compute_catcher_throwing() populates the column.
6. Formula: (SB+CS) / (opp_1B + opp_2B), PA-level, force-advance PAs excluded.
7. Min-sample guard: NULL if denominator &lt; 100 PA opportunities.
8. Backfill 2022/2023/2024.</t>
        </is>
      </c>
      <c r="L17" s="84" t="inlineStr">
        <is>
          <t>SIM-084 (DuckDB migration pattern)</t>
        </is>
      </c>
      <c r="M17" s="84" t="inlineStr">
        <is>
          <t>Blocks SIM-072.</t>
        </is>
      </c>
    </row>
    <row r="18" ht="147" customHeight="1" s="47">
      <c r="A18" s="84" t="inlineStr">
        <is>
          <t>SIM-078</t>
        </is>
      </c>
      <c r="B18" s="84" t="inlineStr">
        <is>
          <t>Apply quantile normalization to right-skewed OF arm metrics before Z-scoring</t>
        </is>
      </c>
      <c r="C18" s="84" t="inlineStr">
        <is>
          <t>Similarity Engines</t>
        </is>
      </c>
      <c r="D18" s="84" t="inlineStr">
        <is>
          <t>Improvement</t>
        </is>
      </c>
      <c r="E18" s="85" t="inlineStr">
        <is>
          <t>P1</t>
        </is>
      </c>
      <c r="F18" s="84" t="inlineStr">
        <is>
          <t>S (1–2 days)</t>
        </is>
      </c>
      <c r="G18" s="84" t="inlineStr">
        <is>
          <t>ML Engineer</t>
        </is>
      </c>
      <c r="H18" s="87" t="inlineStr">
        <is>
          <t>Open</t>
        </is>
      </c>
      <c r="I18" s="84" t="inlineStr">
        <is>
          <t>No</t>
        </is>
      </c>
      <c r="J18" s="84" t="inlineStr">
        <is>
          <t>OF arm metrics (arm_hold_rate, arm_thrown_out_rate) have Poisson-like distributions with most players clustered near 0. A Z-score normalizer on these produces extreme positive Z-scores for elite arms and collapses average arms together. The RBF kernel then treats 2-sigma and 3-sigma arms the same way.</t>
        </is>
      </c>
      <c r="K18" s="84" t="inlineStr">
        <is>
          <t>1. Apply rank-based (quantile) CDF transform to arm_hold_rate, arm_thrown_out_rate, arm_advancement_prevention BEFORE passing to FeatureNormalizer (for OF profiles only).
2. of_arm_runs (approximately normal) does NOT require this transform.
3. Implement as a pre-processing step in FielderSimilarityEngine.build() before normalizer fit.
4. Unit test: arm_hold_rate distribution after transform has near-uniform histogram.
5. Regression test: top-5 arm comps for a known elite arm player do not change substantially (rank correlation &gt;= 0.8 with pre-fix results).</t>
        </is>
      </c>
      <c r="L18" s="84" t="inlineStr">
        <is>
          <t>SIM-071 (base.py)</t>
        </is>
      </c>
      <c r="M18" s="84" t="inlineStr">
        <is>
          <t>Correctly represents the continuous variation in arm strength that gets compressed by Z-scoring.</t>
        </is>
      </c>
    </row>
    <row r="19" ht="135.75" customHeight="1" s="47">
      <c r="A19" s="84" t="inlineStr">
        <is>
          <t>SIM-079</t>
        </is>
      </c>
      <c r="B19" s="84" t="inlineStr">
        <is>
          <t>Add season_weight parameter to calibrate_sigma() — calibration must reflect recency-weighted population</t>
        </is>
      </c>
      <c r="C19" s="84" t="inlineStr">
        <is>
          <t>Similarity Engines</t>
        </is>
      </c>
      <c r="D19" s="84" t="inlineStr">
        <is>
          <t>Improvement</t>
        </is>
      </c>
      <c r="E19" s="85" t="inlineStr">
        <is>
          <t>P1</t>
        </is>
      </c>
      <c r="F19" s="84" t="inlineStr">
        <is>
          <t>S (1–2 days)</t>
        </is>
      </c>
      <c r="G19" s="84" t="inlineStr">
        <is>
          <t>ML Engineer</t>
        </is>
      </c>
      <c r="H19" s="87" t="inlineStr">
        <is>
          <t>Open</t>
        </is>
      </c>
      <c r="I19" s="84" t="inlineStr">
        <is>
          <t>No</t>
        </is>
      </c>
      <c r="J19" s="84" t="inlineStr">
        <is>
          <t>If recency weighting is applied at query time (SIM-076) but sigma was calibrated without it, the effective score distribution will shift and the target median of 0.50 won't hold. Calibration must sample the same population the simulation queries.</t>
        </is>
      </c>
      <c r="K19" s="84" t="inlineStr">
        <is>
          <t>1. Add season_weight: dict[int, float] parameter to calibrate_sigma() and all calibration routines (default: equal weights for backward compat).
2. When sampling random pairs for sigma estimation, oversample from high-weight seasons at the specified multiplier.
3. Store seasons_weights_used in CalibrationReport for reproducibility.
4. Apply same season_weight to calibrate_eb_prior() and calibrate_reliability_weights().
5. Re-run full calibration with season_weights after SIM-076 recency weights confirmed.</t>
        </is>
      </c>
      <c r="L19" s="84" t="inlineStr">
        <is>
          <t>SIM-076 (recency weights must be defined first)</t>
        </is>
      </c>
      <c r="M19" s="84" t="inlineStr">
        <is>
          <t>Ensures calibrated sigmas match the actual distribution the simulation samples.</t>
        </is>
      </c>
    </row>
    <row r="20" ht="79.5" customHeight="1" s="47">
      <c r="A20" s="84" t="inlineStr">
        <is>
          <t>SIM-080</t>
        </is>
      </c>
      <c r="B20" s="84" t="inlineStr">
        <is>
          <t>Add ordering guard to pitcher engine build() — document GMM/shrinkage dependency</t>
        </is>
      </c>
      <c r="C20" s="84" t="inlineStr">
        <is>
          <t>Similarity Engines</t>
        </is>
      </c>
      <c r="D20" s="84" t="inlineStr">
        <is>
          <t>Improvement</t>
        </is>
      </c>
      <c r="E20" s="88" t="inlineStr">
        <is>
          <t>P2</t>
        </is>
      </c>
      <c r="F20" s="84" t="inlineStr">
        <is>
          <t>S (&lt; 1 day)</t>
        </is>
      </c>
      <c r="G20" s="84" t="inlineStr">
        <is>
          <t>ML Engineer</t>
        </is>
      </c>
      <c r="H20" s="87" t="inlineStr">
        <is>
          <t>Open</t>
        </is>
      </c>
      <c r="I20" s="84" t="inlineStr">
        <is>
          <t>No</t>
        </is>
      </c>
      <c r="J20" s="84" t="inlineStr">
        <is>
          <t>In pitcher engine build(), EB shrinkage is applied before GMM standardization. These operate on different attributes currently so the order doesn't cause bugs today. However, if GMM shrinkage is ever added without fixing the order, standardization would run on unshrunk data. This is a latent ordering bug that needs a guard before the engine is extended.</t>
        </is>
      </c>
      <c r="K20" s="84" t="inlineStr">
        <is>
          <t>1. Add assertion after _apply_shrinkage(): confirm no profile.gmm has been modified (spot-check component means match pre-shrinkage values for 5 sample profiles).
2. Add code comment above _apply_shrinkage() call: 'ORDERING NOTE: shrinkage must be called before standardize_arsenals() if GMM shrinkage is ever added.'
3. No behavioral change — this is a guard, not a fix.</t>
        </is>
      </c>
      <c r="L20" s="84" t="inlineStr">
        <is>
          <t>None</t>
        </is>
      </c>
      <c r="M20" s="84" t="inlineStr">
        <is>
          <t>Latent bug guard — prevents future developers from introducing an ordering regression.</t>
        </is>
      </c>
    </row>
    <row r="21" ht="113.25" customHeight="1" s="47">
      <c r="A21" s="84" t="inlineStr">
        <is>
          <t>SIM-056</t>
        </is>
      </c>
      <c r="B21" s="84" t="inlineStr">
        <is>
          <t>Design count-stratified foul ball frequency weighting for outcome pool</t>
        </is>
      </c>
      <c r="C21" s="84" t="inlineStr">
        <is>
          <t>Simulation Loop</t>
        </is>
      </c>
      <c r="D21" s="84" t="inlineStr">
        <is>
          <t>Feature</t>
        </is>
      </c>
      <c r="E21" s="85" t="inlineStr">
        <is>
          <t>P1</t>
        </is>
      </c>
      <c r="F21" s="84" t="inlineStr">
        <is>
          <t>S (1–2 days)</t>
        </is>
      </c>
      <c r="G21" s="84" t="inlineStr">
        <is>
          <t>Backend Developer + Baseball Analyst</t>
        </is>
      </c>
      <c r="H21" s="87" t="inlineStr">
        <is>
          <t>Closed</t>
        </is>
      </c>
      <c r="I21" s="84" t="inlineStr">
        <is>
          <t>No</t>
        </is>
      </c>
      <c r="J21" s="84" t="inlineStr">
        <is>
          <t>Foul balls occur at dramatically different rates depending on count. With 2 strikes, batters foul off significantly more pitches as they protect. The outcome pool must weight foul ball outcomes by count to avoid over/under-representing them in the simulation. This affects both K-rate and PA length distributions.</t>
        </is>
      </c>
      <c r="K21" s="84" t="inlineStr">
        <is>
          <t>1. Compute foul_rate by count (balls, strikes) in derived.batter_season_metrics.
2. Apply count-stratified foul rate as a weight modifier in get_outcome_pool() — outcomes sampled from the pool respect the correct foul frequency for the current count.
3. BA to confirm the expected foul rate pattern: 2-strike counts should show foul rates 2-3× higher than 0-strike counts for contact hitters.
4. Unit test: simulate 1,000 2-strike PAs; assert foul ball rate &gt; 25% (vs. overall foul rate ~15%).</t>
        </is>
      </c>
      <c r="L21" s="84" t="inlineStr">
        <is>
          <t>SIM-111 (play pool query API contracts)</t>
        </is>
      </c>
      <c r="M21" s="84" t="inlineStr">
        <is>
          <t>Important for K-rate prop accuracy — undercounting fouls shortens simulated PA lengths and inflates K rates.</t>
        </is>
      </c>
    </row>
    <row r="22" ht="124.5" customHeight="1" s="47">
      <c r="A22" s="84" t="inlineStr">
        <is>
          <t>SIM-061</t>
        </is>
      </c>
      <c r="B22" s="84" t="inlineStr">
        <is>
          <t>Add pitch-type conditioning coefficients to steal attempt probability</t>
        </is>
      </c>
      <c r="C22" s="84" t="inlineStr">
        <is>
          <t>Simulation Loop</t>
        </is>
      </c>
      <c r="D22" s="84" t="inlineStr">
        <is>
          <t>Feature</t>
        </is>
      </c>
      <c r="E22" s="85" t="inlineStr">
        <is>
          <t>P1</t>
        </is>
      </c>
      <c r="F22" s="84" t="inlineStr">
        <is>
          <t>S (1–2 days)</t>
        </is>
      </c>
      <c r="G22" s="84" t="inlineStr">
        <is>
          <t>Backend Developer + Baseball Analyst</t>
        </is>
      </c>
      <c r="H22" s="87" t="inlineStr">
        <is>
          <t>Open</t>
        </is>
      </c>
      <c r="I22" s="84" t="inlineStr">
        <is>
          <t>No</t>
        </is>
      </c>
      <c r="J22" s="84" t="inlineStr">
        <is>
          <t>Steal attempt probability should be conditioned on the expected pitch type. Runners are significantly more likely to attempt a steal on an expected breaking ball (slower, harder to block) than a fastball. This is a well-established baseball reality that the current steal step ignores.</t>
        </is>
      </c>
      <c r="K22" s="84" t="inlineStr">
        <is>
          <t>1. Add pitch_type_steal_modifier: dict[str, float] to the steal attempt probability calculation in step_steal.py. Breaking balls: +15-20% modifier; fastballs: baseline; changeups: +5-10% (slower but less predictable).
2. Modifier sourced from historical SB attempt rates conditioned on pitch type from raw.pitches.
3. BA to validate modifier magnitudes against real steal attempt patterns.
4. Unit test: steal attempt probability on an expected curveball is statistically higher than on an expected fastball in the same game situation.</t>
        </is>
      </c>
      <c r="L22" s="84" t="inlineStr">
        <is>
          <t>SIM-108 (step_steal.py stub), SIM-044 (baserunner steal engine)</t>
        </is>
      </c>
      <c r="M22" s="84" t="inlineStr">
        <is>
          <t>Relatively small improvement in isolation but compounds over many simulation iterations.</t>
        </is>
      </c>
    </row>
    <row r="23" ht="147" customHeight="1" s="47">
      <c r="A23" s="84" t="inlineStr">
        <is>
          <t>SIM-065</t>
        </is>
      </c>
      <c r="B23" s="84" t="inlineStr">
        <is>
          <t>Ghost runner explicit season conditioning + full GameState field spec</t>
        </is>
      </c>
      <c r="C23" s="84" t="inlineStr">
        <is>
          <t>Simulation Loop</t>
        </is>
      </c>
      <c r="D23" s="84" t="inlineStr">
        <is>
          <t>Feature</t>
        </is>
      </c>
      <c r="E23" s="85" t="inlineStr">
        <is>
          <t>P1</t>
        </is>
      </c>
      <c r="F23" s="84" t="inlineStr">
        <is>
          <t>S (1–2 days)</t>
        </is>
      </c>
      <c r="G23" s="84" t="inlineStr">
        <is>
          <t>Backend Developer + Baseball Analyst</t>
        </is>
      </c>
      <c r="H23" s="87" t="inlineStr">
        <is>
          <t>Open</t>
        </is>
      </c>
      <c r="I23" s="84" t="inlineStr">
        <is>
          <t>No</t>
        </is>
      </c>
      <c r="J23" s="84" t="inlineStr">
        <is>
          <t>The Phase 4 spec mentions ghost runner rule for extra innings but provides no spec for how it interacts with GameState initialization. The ghost runner is placed on 2B at the start of each extra half-inning using the last-out batter from the previous inning — which requires tracking that player_id through play_history.</t>
        </is>
      </c>
      <c r="K23" s="84" t="inlineStr">
        <is>
          <t>1. Add to GameState dataclass: ghost_runner_active: bool, ghost_runner_player_id: int | None.
2. Loop control step (Step 4.10): at start of each extra half-inning past the 9th, set on_2b = last_out_player_id from play_history, ghost_runner_active = True.
3. Season conditioning: 2023+ → ghost runner applies; 2022 and earlier → no ghost runner. Implemented as a GameState initialization parameter.
4. Baserunner advancement step: check ghost_runner_active to exclude the ghost runner from per-player stat accumulation in SimulationResults.
5. Ghost runner scores as a run (correct per MLB rules) but is excluded from per-player RBI attribution.</t>
        </is>
      </c>
      <c r="L23" s="84" t="inlineStr">
        <is>
          <t>SIM-110 (GameState spec), SIM-108 (GameState dataclass implementation)</t>
        </is>
      </c>
      <c r="M23" s="84" t="inlineStr">
        <is>
          <t>Season conditioning prevents incorrect ghost runner behavior when simulating historical 2022 games.</t>
        </is>
      </c>
    </row>
    <row r="24" ht="113.25" customHeight="1" s="47">
      <c r="A24" s="84" t="inlineStr">
        <is>
          <t>SIM-096</t>
        </is>
      </c>
      <c r="B24" s="84" t="inlineStr">
        <is>
          <t>Create SQLAlchemy async models for API-facing tables — db/models/ is empty</t>
        </is>
      </c>
      <c r="C24" s="84" t="inlineStr">
        <is>
          <t>Backend API</t>
        </is>
      </c>
      <c r="D24" s="84" t="inlineStr">
        <is>
          <t>Gap</t>
        </is>
      </c>
      <c r="E24" s="85" t="inlineStr">
        <is>
          <t>P1</t>
        </is>
      </c>
      <c r="F24" s="84" t="inlineStr">
        <is>
          <t>M (3–5 days)</t>
        </is>
      </c>
      <c r="G24" s="84" t="inlineStr">
        <is>
          <t>Data Engineer + Backend Developer</t>
        </is>
      </c>
      <c r="H24" s="87" t="inlineStr">
        <is>
          <t>Open</t>
        </is>
      </c>
      <c r="I24" s="84" t="inlineStr">
        <is>
          <t>No</t>
        </is>
      </c>
      <c r="J24" s="84" t="inlineStr">
        <is>
          <t>db/models/ is empty. The Phase 5 API needs SQLAlchemy async models for the tables its endpoints query. ETL and profile computor continue using psycopg2/asyncpg/DuckDB directly — models are only needed for the API layer.</t>
        </is>
      </c>
      <c r="K24" s="84" t="inlineStr">
        <is>
          <t>1. Create SQLAlchemy async models (sqlalchemy.ext.asyncio) for: raw.games, raw.players, raw.venues, sim.lineup_state, raw.game_odds, raw.prop_odds.
2. db/models/__init__.py exports all model classes.
3. Add type stubs noting that derived.* and sim.* (DuckDB-backed) tables are read-only and accessed via DuckDB directly, not SQLAlchemy.
4. Backend Developer confirms which tables Phase 5 endpoints actually query before models are written.</t>
        </is>
      </c>
      <c r="L24" s="84" t="inlineStr">
        <is>
          <t>SIM-084 (Alembic — models must match migrated schema), SIM-133, SIM-134</t>
        </is>
      </c>
      <c r="M24" s="84" t="inlineStr">
        <is>
          <t>Only needed for API layer. ETL scripts intentionally bypass ORM for performance.</t>
        </is>
      </c>
    </row>
    <row r="25" ht="124.5" customHeight="1" s="47">
      <c r="A25" s="84" t="inlineStr">
        <is>
          <t>SIM-055</t>
        </is>
      </c>
      <c r="B25" s="84" t="inlineStr">
        <is>
          <t>Design directional HR model with spray-angle park factor splits</t>
        </is>
      </c>
      <c r="C25" s="84" t="inlineStr">
        <is>
          <t>Simulation Loop</t>
        </is>
      </c>
      <c r="D25" s="84" t="inlineStr">
        <is>
          <t>Feature</t>
        </is>
      </c>
      <c r="E25" s="85" t="inlineStr">
        <is>
          <t>P1</t>
        </is>
      </c>
      <c r="F25" s="84" t="inlineStr">
        <is>
          <t>M (3–5 days)</t>
        </is>
      </c>
      <c r="G25" s="84" t="inlineStr">
        <is>
          <t>Data Engineer + Baseball Analyst</t>
        </is>
      </c>
      <c r="H25" s="87" t="inlineStr">
        <is>
          <t>Open</t>
        </is>
      </c>
      <c r="I25" s="84" t="inlineStr">
        <is>
          <t>No</t>
        </is>
      </c>
      <c r="J25" s="84" t="inlineStr">
        <is>
          <t>The HR model needs direction-aware fence distances (pull/center/oppo) per venue. Current park_factors stores only scalar multipliers with no directional component. SIM-094 adds the schema columns; this ticket implements the directional HR determination logic in the simulation loop Step 4.</t>
        </is>
      </c>
      <c r="K25" s="84" t="inlineStr">
        <is>
          <t>1. Requires SIM-094 (directional HR distance columns in park_factors) to be complete.
2. Implement directional HR determination in step_fielding.py (Step 4): given exit_velo, launch_angle, pull_relative_spray_angle, and park factor fence distances for that direction, determine if the ball clears the fence.
3. BA to confirm spray-angle bucket boundaries: pull &lt; -15°, center -15° to 15°, oppo &gt; 15° for RHB (mirrored for LHB).
4. Unit tests: known HR trajectories (e.g. 110 mph, 28°, dead pull) produce HR at correct rate given Yankee Stadium dimensions vs. Petco Park dimensions.</t>
        </is>
      </c>
      <c r="L25" s="84" t="inlineStr">
        <is>
          <t>SIM-094 (park_factors schema), SIM-063 (park_factors effective_date)</t>
        </is>
      </c>
      <c r="M25" s="84" t="inlineStr">
        <is>
          <t>Directional HR model is critical for HR prop calibration — same exit conditions produce different HR rates by park and direction.</t>
        </is>
      </c>
    </row>
    <row r="26" ht="147" customHeight="1" s="47">
      <c r="A26" s="84" t="inlineStr">
        <is>
          <t>SIM-062</t>
        </is>
      </c>
      <c r="B26" s="84" t="inlineStr">
        <is>
          <t>Upgrade catcher framing to logistic regression on zone distance features</t>
        </is>
      </c>
      <c r="C26" s="84" t="inlineStr">
        <is>
          <t>Simulation Loop</t>
        </is>
      </c>
      <c r="D26" s="84" t="inlineStr">
        <is>
          <t>Feature</t>
        </is>
      </c>
      <c r="E26" s="85" t="inlineStr">
        <is>
          <t>P1</t>
        </is>
      </c>
      <c r="F26" s="84" t="inlineStr">
        <is>
          <t>M (3–5 days)</t>
        </is>
      </c>
      <c r="G26" s="84" t="inlineStr">
        <is>
          <t>Data Engineer + Baseball Analyst</t>
        </is>
      </c>
      <c r="H26" s="87" t="inlineStr">
        <is>
          <t>Open</t>
        </is>
      </c>
      <c r="I26" s="84" t="inlineStr">
        <is>
          <t>No</t>
        </is>
      </c>
      <c r="J26" s="84" t="inlineStr">
        <is>
          <t>The current catcher framing model uses a simplified zone-based approach. Logistic regression on zone distance features (how far outside the zone the pitch landed, plate_x, plate_z, catcher_id) produces a probability of called strike that properly captures framing value at the margins.</t>
        </is>
      </c>
      <c r="K26" s="84" t="inlineStr">
        <is>
          <t>1. Fit logistic regression model in _compute_catcher_framing(): features are plate_x, plate_z, distance_from_zone_edge, catcher_id (encoded). Target: called_strike (1/0).
2. Store model coefficients in derived.catcher_season_metrics or a separate derived.catcher_framing_model table.
3. In step_outcome.py: use model to compute P(called_strike) for borderline pitches; sample the outcome probabilistically.
4. BA to validate: elite framers should have called_strike probability ~5-10% higher than average catchers on pitches 1-2 inches off the zone edge.</t>
        </is>
      </c>
      <c r="L26" s="84" t="inlineStr">
        <is>
          <t>SIM-043 (catcher schema columns), SIM-108 (step_outcome.py stub)</t>
        </is>
      </c>
      <c r="M26" s="84" t="inlineStr">
        <is>
          <t>Framing directly impacts called strike rate which affects pitcher K totals — relevant for K prop calibration.</t>
        </is>
      </c>
    </row>
    <row r="27" ht="135.75" customHeight="1" s="47">
      <c r="A27" s="84" t="inlineStr">
        <is>
          <t>SIM-094</t>
        </is>
      </c>
      <c r="B27" s="84" t="inlineStr">
        <is>
          <t>Add directional HR distance columns to derived.park_factors</t>
        </is>
      </c>
      <c r="C27" s="84" t="inlineStr">
        <is>
          <t>Schema / ETL</t>
        </is>
      </c>
      <c r="D27" s="84" t="inlineStr">
        <is>
          <t>Feature</t>
        </is>
      </c>
      <c r="E27" s="85" t="inlineStr">
        <is>
          <t>P1</t>
        </is>
      </c>
      <c r="F27" s="84" t="inlineStr">
        <is>
          <t>M (3–5 days)</t>
        </is>
      </c>
      <c r="G27" s="84" t="inlineStr">
        <is>
          <t>Data Engineer + Baseball Analyst</t>
        </is>
      </c>
      <c r="H27" s="87" t="inlineStr">
        <is>
          <t>Open</t>
        </is>
      </c>
      <c r="I27" s="84" t="inlineStr">
        <is>
          <t>No</t>
        </is>
      </c>
      <c r="J27" s="84" t="inlineStr">
        <is>
          <t>The directional HR model (SIM-055) requires minimum fence distances by spray angle bucket per venue. Current park_factors has no directional columns. BA must confirm spray-angle bucket boundaries before implementation begins.</t>
        </is>
      </c>
      <c r="K27" s="84" t="inlineStr">
        <is>
          <t>1. BA confirms spray-angle bucket boundaries (proposed: pull &lt;-15°, center -15° to 15°, oppo &gt;15° for RHB; mirrored for LHB).
2. Add to derived.park_factors: pull_hr_min_dist_ft FLOAT, center_hr_min_dist_ft FLOAT, oppo_hr_min_dist_ft FLOAT.
3. Add LHB variants: pull_hr_min_dist_ft_vs_l, center_hr_min_dist_ft_vs_l, oppo_hr_min_dist_ft_vs_l.
4. Populate from raw.venues lf_dist, cf_dist, rf_dist using bucket midpoints.
5. Deliver as numbered DuckDB migration file.
6. Sequence after SIM-063 (PRIMARY KEY change must be applied first).</t>
        </is>
      </c>
      <c r="L27" s="84" t="inlineStr">
        <is>
          <t>SIM-063 (park_factors PRIMARY KEY change), SIM-084, Baseball Analyst sign-off</t>
        </is>
      </c>
      <c r="M27" s="84" t="inlineStr">
        <is>
          <t>Blocks SIM-055 (directional HR model in simulation loop).</t>
        </is>
      </c>
    </row>
    <row r="28" ht="191.25" customHeight="1" s="47">
      <c r="A28" s="84" t="inlineStr">
        <is>
          <t>SIM-043</t>
        </is>
      </c>
      <c r="B28" s="84" t="inlineStr">
        <is>
          <t>Build catcher similarity engine (2.6) — requires schema columns, speed-adjusted CS rate</t>
        </is>
      </c>
      <c r="C28" s="84" t="inlineStr">
        <is>
          <t>Similarity Engines</t>
        </is>
      </c>
      <c r="D28" s="84" t="inlineStr">
        <is>
          <t>Feature</t>
        </is>
      </c>
      <c r="E28" s="85" t="inlineStr">
        <is>
          <t>P1</t>
        </is>
      </c>
      <c r="F28" s="84" t="inlineStr">
        <is>
          <t>L (1–2 weeks)</t>
        </is>
      </c>
      <c r="G28" s="84" t="inlineStr">
        <is>
          <t>Data Engineer + ML Engineer</t>
        </is>
      </c>
      <c r="H28" s="87" t="inlineStr">
        <is>
          <t>Open</t>
        </is>
      </c>
      <c r="I28" s="84" t="inlineStr">
        <is>
          <t>No</t>
        </is>
      </c>
      <c r="J28" s="84" t="inlineStr">
        <is>
          <t>Catcher engine and the data layer work it requires. The current derived.catcher_season_metrics schema is missing all throwing-by-base columns. The speed-adjusted CS rate (required as the primary throwing feature) must be computed in the profile computor, not the engine. Three components: schema extension, computor implementation, and engine build.</t>
        </is>
      </c>
      <c r="K28" s="84" t="inlineStr">
        <is>
          <t>1. DE: Add to derived.catcher_season_metrics: cs_attempts_2b/3b/home, cs_caught_2b/3b/home, cs_rate_2b/3b/home, speed_adjusted_cs_rate_2b/3b/home, pop_time_proxy, arm_strength_proxy.
2. DE: In _compute_catcher_throwing(): LEFT JOIN pg.raw.sprint_speed on runner_id for each SB attempt; compute expected_cs_rate from sprint speed distribution; store speed_adjusted_cs_rate = actual_cs_rate - expected_cs_rate.
3. MLE: Build catcher_similarity.py using speed_adjusted_cs_rate as primary throwing feature (not raw cs_rate), RBF kernel, EB shrinkage.
4. Integration: requires SIM-077 (sprint speed join) to be complete first.
5. Tests: catchers with elite pop times score highly with each other; catchers with poor blocking rates score &lt; 0.3 with elite blockers.</t>
        </is>
      </c>
      <c r="L28" s="84" t="inlineStr">
        <is>
          <t>SIM-071, SIM-077 (sprint speed join in profile computor), SIM-084</t>
        </is>
      </c>
      <c r="M28" s="84" t="inlineStr">
        <is>
          <t>Catcher throwing features feed into steal determination — Phase 4 Step 1.</t>
        </is>
      </c>
    </row>
    <row r="29" ht="147" customHeight="1" s="47">
      <c r="A29" s="84" t="inlineStr">
        <is>
          <t>SIM-057</t>
        </is>
      </c>
      <c r="B29" s="84" t="inlineStr">
        <is>
          <t>Add opener_rate, extreme_shift_rate, intentional_walk_rate to manager profiles</t>
        </is>
      </c>
      <c r="C29" s="84" t="inlineStr">
        <is>
          <t>Schema / ETL</t>
        </is>
      </c>
      <c r="D29" s="84" t="inlineStr">
        <is>
          <t>Improvement</t>
        </is>
      </c>
      <c r="E29" s="85" t="inlineStr">
        <is>
          <t>P1</t>
        </is>
      </c>
      <c r="F29" s="84" t="inlineStr">
        <is>
          <t>M (3–5 days)</t>
        </is>
      </c>
      <c r="G29" s="84" t="inlineStr">
        <is>
          <t>Data Engineer + ML Engineer</t>
        </is>
      </c>
      <c r="H29" s="87" t="inlineStr">
        <is>
          <t>Open</t>
        </is>
      </c>
      <c r="I29" s="84" t="inlineStr">
        <is>
          <t>No</t>
        </is>
      </c>
      <c r="J29" s="84" t="inlineStr">
        <is>
          <t>opener_rate, closer_usage_rate, and sp_leverage_threshold are NULL placeholders in the current manager profile computor SQL. The BA audit confirmed extreme_shift_rate and intentional_walk_rate are also required. All five are NULL going into the manager engine build, making all managers appear identical on these features.</t>
        </is>
      </c>
      <c r="K29" s="84" t="inlineStr">
        <is>
          <t>1. Add to derived.manager_season_metrics: opener_rate FLOAT, extreme_shift_rate FLOAT, intentional_walk_rate FLOAT, season_era VARCHAR(15) CHECK (IN ('pre_shift_ban','post_shift_ban')).
2. Implement opener_rate: a game is an opener game if the starting pitcher faces &lt;= 9 distinct batters. Derivable from existing pitch data.
3. Implement season_era: CASE WHEN season &lt;= 2022 THEN 'pre_shift_ban' ELSE 'post_shift_ban' END.
4. Implement intentional_walk_rate from raw.pitches events column.
5. All five columns must be non-NULL for any manager with &gt;= 50 game sample.</t>
        </is>
      </c>
      <c r="L29" s="84" t="inlineStr">
        <is>
          <t>SIM-084 (DuckDB migration)</t>
        </is>
      </c>
      <c r="M29" s="84" t="inlineStr">
        <is>
          <t>Manager similarity engine (SIM-046) cannot be meaningfully built without these features.</t>
        </is>
      </c>
    </row>
    <row r="30" ht="168.75" customHeight="1" s="47">
      <c r="A30" s="84" t="inlineStr">
        <is>
          <t>SIM-076</t>
        </is>
      </c>
      <c r="B30" s="84" t="inlineStr">
        <is>
          <t>Add recency_weight to all three sim pool tables + walk-forward backtesting harness</t>
        </is>
      </c>
      <c r="C30" s="84" t="inlineStr">
        <is>
          <t>Schema / ETL</t>
        </is>
      </c>
      <c r="D30" s="84" t="inlineStr">
        <is>
          <t>Improvement</t>
        </is>
      </c>
      <c r="E30" s="85" t="inlineStr">
        <is>
          <t>P1</t>
        </is>
      </c>
      <c r="F30" s="84" t="inlineStr">
        <is>
          <t>L (1–2 weeks)</t>
        </is>
      </c>
      <c r="G30" s="84" t="inlineStr">
        <is>
          <t>Data Engineer + ML Engineer</t>
        </is>
      </c>
      <c r="H30" s="87" t="inlineStr">
        <is>
          <t>Closed</t>
        </is>
      </c>
      <c r="I30" s="84" t="inlineStr">
        <is>
          <t>No</t>
        </is>
      </c>
      <c r="J30" s="84" t="inlineStr">
        <is>
          <t>The project plan specifies 2× recency weighting for last 2 seasons. No sim pool table has a recency_weight column. The play pool query API (Phase 3 primary output) cannot implement this without a column to store it. Additionally, the walk-forward backtesting harness is a Phase 3 gate — it must validate that engines find predictive comps before the simulation loop is built on top of them. ECE (not MAE) is the primary pass/fail criterion per the BA audit.</t>
        </is>
      </c>
      <c r="K30" s="84" t="inlineStr">
        <is>
          <t>1. DuckDB migration: add recency_weight FLOAT NOT NULL DEFAULT 1.0 to sim.pitch_pool, sim.outcome_pool, AND sim.stolen_base_pool.
2. Populate in pool build methods: CASE WHEN season &gt;= current_max_season - 1 THEN 2.0 ELSE 1.0 END.
3. Store current_max_season in sim.build_metadata table.
4. Walk-forward harness: hold out 2024 data; build engines on 2022-2023; for each pitcher find top-20 comps; compare comp K-rate distribution to actual 2024 K-rate.
5. PRIMARY criterion: ECE &lt;= 0.05 (not MAE). Fail harness if any engine ECE &gt; 0.05.
6. Prop-specific calibration curves for K, hits, HR (per SIM-076 BA extension).
7. BSS computation: sim Brier score vs market closing line Brier score.</t>
        </is>
      </c>
      <c r="L30" s="84" t="inlineStr">
        <is>
          <t>SIM-084, SIM-133 (closing line for BSS calculation), SIM-048 (registry)</t>
        </is>
      </c>
      <c r="M30" s="84" t="inlineStr">
        <is>
          <t>Phase 3 cannot begin until this validates that the engines are predictive.</t>
        </is>
      </c>
    </row>
    <row r="31" ht="147" customHeight="1" s="47">
      <c r="A31" s="84" t="inlineStr">
        <is>
          <t>SIM-048</t>
        </is>
      </c>
      <c r="B31" s="84" t="inlineStr">
        <is>
          <t>Build SimilarityEngineRegistry — unified interface for all 11 engines</t>
        </is>
      </c>
      <c r="C31" s="84" t="inlineStr">
        <is>
          <t>Similarity Engines</t>
        </is>
      </c>
      <c r="D31" s="84" t="inlineStr">
        <is>
          <t>Feature</t>
        </is>
      </c>
      <c r="E31" s="85" t="inlineStr">
        <is>
          <t>P1</t>
        </is>
      </c>
      <c r="F31" s="84" t="inlineStr">
        <is>
          <t>M (3–5 days)</t>
        </is>
      </c>
      <c r="G31" s="84" t="inlineStr">
        <is>
          <t>ML Engineer + Backend Developer</t>
        </is>
      </c>
      <c r="H31" s="87" t="inlineStr">
        <is>
          <t>Closed</t>
        </is>
      </c>
      <c r="I31" s="84" t="inlineStr">
        <is>
          <t>No</t>
        </is>
      </c>
      <c r="J31" s="84" t="inlineStr">
        <is>
          <t>The SimilarityEngineRegistry provides a single interface for the simulation loop to query any of the 11 engines. It handles: engine initialization and build() orchestration, the SimilarityEngine Protocol from base.py, engine selection by type, and results caching. Required before Phase 3 can begin.</t>
        </is>
      </c>
      <c r="K31" s="84" t="inlineStr">
        <is>
          <t>1. registry.py in similarity/: SimilarityEngineRegistry class with methods get_pitcher_engine(), get_batter_engine(), get_fielder_engine(), etc.
2. All engines import from similarity.base (SIM-071 prerequisite).
3. Registry build(): orchestrates all 11 engine build() calls in dependency order.
4. Registry supports SIM-081 (save/load): registry.save_all(dir), registry.load_all(dir) convenience methods.
5. Unit tests: registry.get_pitcher_engine() returns a PitcherSimilarityEngine instance; querying a non-existent engine raises ValueError with clear message.</t>
        </is>
      </c>
      <c r="L31" s="84" t="inlineStr">
        <is>
          <t>SIM-071 (package structure + base.py), all 11 engines complete</t>
        </is>
      </c>
      <c r="M31" s="84" t="inlineStr">
        <is>
          <t>Phase 2 completion gate — registry is the final deliverable.</t>
        </is>
      </c>
    </row>
    <row r="32" ht="135.75" customHeight="1" s="47">
      <c r="A32" s="84" t="inlineStr">
        <is>
          <t>SIM-052</t>
        </is>
      </c>
      <c r="B32" s="84" t="inlineStr">
        <is>
          <t>Add pitch-archetype pre-filter to pitcher similarity engine</t>
        </is>
      </c>
      <c r="C32" s="84" t="inlineStr">
        <is>
          <t>Similarity Engines</t>
        </is>
      </c>
      <c r="D32" s="84" t="inlineStr">
        <is>
          <t>Improvement</t>
        </is>
      </c>
      <c r="E32" s="88" t="inlineStr">
        <is>
          <t>P2</t>
        </is>
      </c>
      <c r="F32" s="84" t="inlineStr">
        <is>
          <t>S (1–2 days)</t>
        </is>
      </c>
      <c r="G32" s="84" t="inlineStr">
        <is>
          <t>ML Engineer + Baseball Analyst</t>
        </is>
      </c>
      <c r="H32" s="87" t="inlineStr">
        <is>
          <t>Open</t>
        </is>
      </c>
      <c r="I32" s="84" t="inlineStr">
        <is>
          <t>No</t>
        </is>
      </c>
      <c r="J32" s="84" t="inlineStr">
        <is>
          <t>Pitch-to-pitch similarity queries should be optionally pre-filtered to the same pitch archetype (e.g., don't compare a sweeper to a sinker) before FAISS search. This reduces noise in the pitch selection pool for pitchers with very distinct pitch types and improves the relevance of top-k results.</t>
        </is>
      </c>
      <c r="K32" s="84" t="inlineStr">
        <is>
          <t>1. Add optional pitch_archetype_filter parameter to pitch-to-pitch engine query().
2. Archetype derived from GMM component labels (display_label from profile computor).
3. When filter is applied, only search within the pre-filtered subset.
4. When filter is None, full pool search (backward compatible).
5. Baseball Analyst validates that archetype groupings make baseball sense.
6. Unit test: querying a 4-seam fastball with archetype filter returns only fastball-type results.</t>
        </is>
      </c>
      <c r="L32" s="84" t="inlineStr">
        <is>
          <t>SIM-041 (pitch-to-pitch engine must exist first)</t>
        </is>
      </c>
      <c r="M32" s="84" t="inlineStr">
        <is>
          <t>Improvement to pitch selection quality — optional filter, not required for correctness.</t>
        </is>
      </c>
    </row>
    <row r="33" ht="124.5" customHeight="1" s="47">
      <c r="A33" s="84" t="inlineStr">
        <is>
          <t>SIM-046</t>
        </is>
      </c>
      <c r="B33" s="84" t="inlineStr">
        <is>
          <t>Build manager similarity engine (2.8)</t>
        </is>
      </c>
      <c r="C33" s="84" t="inlineStr">
        <is>
          <t>Similarity Engines</t>
        </is>
      </c>
      <c r="D33" s="84" t="inlineStr">
        <is>
          <t>Feature</t>
        </is>
      </c>
      <c r="E33" s="85" t="inlineStr">
        <is>
          <t>P1</t>
        </is>
      </c>
      <c r="F33" s="84" t="inlineStr">
        <is>
          <t>M (3–5 days)</t>
        </is>
      </c>
      <c r="G33" s="84" t="inlineStr">
        <is>
          <t>ML Engineer + Data Engineer</t>
        </is>
      </c>
      <c r="H33" s="87" t="inlineStr">
        <is>
          <t>Open</t>
        </is>
      </c>
      <c r="I33" s="84" t="inlineStr">
        <is>
          <t>No</t>
        </is>
      </c>
      <c r="J33" s="84" t="inlineStr">
        <is>
          <t>Manager-to-manager similarity for substitution decision patterns. Requires SIM-057 manager schema additions (opener_rate, extreme_shift_rate, IBB rate) to be implemented in the profile computor first. The engine then scores managers on their tendencies for: bullpen usage, pinch hitting, position player usage in leverage situations.</t>
        </is>
      </c>
      <c r="K33" s="84" t="inlineStr">
        <is>
          <t>1. Depends on SIM-057: opener_rate, extreme_shift_rate, intentional_walk_rate columns populated (not NULL) in derived.manager_season_metrics.
2. Features: quick_hook_rate, opener_rate, extreme_shift_rate, intentional_walk_rate, sp_pitch_count_mean, bullpen_leverage_mapping.
3. RBF kernel, EB shrinkage (EB_N_PRIOR appropriate for manager-level stats which stabilize in ~1 full season).
4. Unit tests: aggressive bullpen managers (low quick_hook) cluster together; old-school managers cluster separately from analytics-driven ones.</t>
        </is>
      </c>
      <c r="L33" s="84" t="inlineStr">
        <is>
          <t>SIM-071, SIM-057 (manager schema additions)</t>
        </is>
      </c>
      <c r="M33" s="84" t="inlineStr">
        <is>
          <t>Manager engine powers Phase 4 Step 7 (manager decision logic).</t>
        </is>
      </c>
    </row>
    <row r="34" ht="113.25" customHeight="1" s="47">
      <c r="A34" s="84" t="inlineStr">
        <is>
          <t>SIM-053</t>
        </is>
      </c>
      <c r="B34" s="84" t="inlineStr">
        <is>
          <t>Add two-strike count-stratified features to batter engine</t>
        </is>
      </c>
      <c r="C34" s="84" t="inlineStr">
        <is>
          <t>Similarity Engines</t>
        </is>
      </c>
      <c r="D34" s="84" t="inlineStr">
        <is>
          <t>Improvement</t>
        </is>
      </c>
      <c r="E34" s="88" t="inlineStr">
        <is>
          <t>P2</t>
        </is>
      </c>
      <c r="F34" s="84" t="inlineStr">
        <is>
          <t>M (3–5 days)</t>
        </is>
      </c>
      <c r="G34" s="84" t="inlineStr">
        <is>
          <t>ML Engineer + Data Engineer</t>
        </is>
      </c>
      <c r="H34" s="87" t="inlineStr">
        <is>
          <t>Open</t>
        </is>
      </c>
      <c r="I34" s="84" t="inlineStr">
        <is>
          <t>No</t>
        </is>
      </c>
      <c r="J34" s="84" t="inlineStr">
        <is>
          <t>Batter behavior changes substantially with two strikes. The current batter engine uses aggregate discipline features that blend 0-strike and 2-strike at-bats. Two-strike chase rate, contact rate, and zone rate are meaningfully different from overall rates and are important for strikeout prop calibration.</t>
        </is>
      </c>
      <c r="K34" s="84" t="inlineStr">
        <is>
          <t>1. Add to derived.batter_season_metrics: o_swing_rate_2k, z_swing_rate_2k, whiff_rate_2k, contact_rate_2k (all limited to pitches with strikes=2).
2. Add to BatterSimilarityEngine feature set with separate reliability weights (2-strike stats stabilize faster — smaller sample needed).
3. Calibrate sigma for two-strike features separately from overall discipline.
4. Unit test: batters known for good two-strike approach (low 2K whiff) cluster together; free-swingers cluster separately.</t>
        </is>
      </c>
      <c r="L34" s="84" t="inlineStr">
        <is>
          <t>SIM-069 (platoon calibration fix should land first)</t>
        </is>
      </c>
      <c r="M34" s="84" t="inlineStr">
        <is>
          <t>Important for strikeout prop accuracy — the primary prop market.</t>
        </is>
      </c>
    </row>
    <row r="35" ht="102" customHeight="1" s="47">
      <c r="A35" s="84" t="inlineStr">
        <is>
          <t>SIM-054</t>
        </is>
      </c>
      <c r="B35" s="84" t="inlineStr">
        <is>
          <t>Replace xBA/xSLG with wOBAcon/ISO in batter power sub-score</t>
        </is>
      </c>
      <c r="C35" s="84" t="inlineStr">
        <is>
          <t>Similarity Engines</t>
        </is>
      </c>
      <c r="D35" s="84" t="inlineStr">
        <is>
          <t>Improvement</t>
        </is>
      </c>
      <c r="E35" s="88" t="inlineStr">
        <is>
          <t>P2</t>
        </is>
      </c>
      <c r="F35" s="84" t="inlineStr">
        <is>
          <t>S (1–2 days)</t>
        </is>
      </c>
      <c r="G35" s="84" t="inlineStr">
        <is>
          <t>ML Engineer + Data Engineer</t>
        </is>
      </c>
      <c r="H35" s="87" t="inlineStr">
        <is>
          <t>Open</t>
        </is>
      </c>
      <c r="I35" s="84" t="inlineStr">
        <is>
          <t>No</t>
        </is>
      </c>
      <c r="J35" s="84" t="inlineStr">
        <is>
          <t>The current batter power sub-score uses xBA and xSLG as primary features. These are predictive but compositionally similar to each other. wOBAcon (wOBA on contact — quality of contact per ball in play) and ISO (isolated power = SLG - AVG, measuring extra-base hit rate) are more independent dimensions and better capture different aspects of power.</t>
        </is>
      </c>
      <c r="K35" s="84" t="inlineStr">
        <is>
          <t>1. Add wOBAcon and ISO to derived.batter_season_metrics computation.
2. Replace xBA and xSLG in POWER_FEATURES with wOBAcon and ISO.
3. Calibrate reliability weights for new features.
4. Baseball Analyst confirms the feature swap makes domain sense.
5. Regression test: top-5 power comps for known power hitters remain intuitive after the change.</t>
        </is>
      </c>
      <c r="L35" s="84" t="inlineStr">
        <is>
          <t>Baseball Analyst sign-off</t>
        </is>
      </c>
      <c r="M35" s="84" t="inlineStr">
        <is>
          <t>Minor feature improvement — lower priority than core bugs but should land in Phase 2.</t>
        </is>
      </c>
    </row>
    <row r="36" ht="147" customHeight="1" s="47">
      <c r="A36" s="84" t="inlineStr">
        <is>
          <t>SIM-059</t>
        </is>
      </c>
      <c r="B36" s="84" t="inlineStr">
        <is>
          <t>Revise pitcher-allowing-SBs feature set: stretch timing, pickoff success, delivery metrics</t>
        </is>
      </c>
      <c r="C36" s="84" t="inlineStr">
        <is>
          <t>Similarity Engines</t>
        </is>
      </c>
      <c r="D36" s="84" t="inlineStr">
        <is>
          <t>Improvement</t>
        </is>
      </c>
      <c r="E36" s="85" t="inlineStr">
        <is>
          <t>P1</t>
        </is>
      </c>
      <c r="F36" s="84" t="inlineStr">
        <is>
          <t>M (3–5 days)</t>
        </is>
      </c>
      <c r="G36" s="84" t="inlineStr">
        <is>
          <t>ML Engineer + Data Engineer</t>
        </is>
      </c>
      <c r="H36" s="87" t="inlineStr">
        <is>
          <t>Open</t>
        </is>
      </c>
      <c r="I36" s="84" t="inlineStr">
        <is>
          <t>No</t>
        </is>
      </c>
      <c r="J36" s="84" t="inlineStr">
        <is>
          <t>The pitcher-allowing-steals engine feature set must be revised before the engine is built (SIM-045). Current specification lacks: stretch timing metrics (not available directly in Statcast but can be approximated from pitch timing data), slide step usage rate, and separate LHP/RHP handedness partitions (LHP pickoff mechanics fundamentally differ from RHP).</t>
        </is>
      </c>
      <c r="K36" s="84" t="inlineStr">
        <is>
          <t>1. Define final feature set: stretch_delivery_time_proxy (time between consecutive pitches with runner on 1B), slide_step_rate (proportion of pitches from slide step position), pickoff_attempt_rate, pickoff_success_rate, sb_attempts_allowed_per_100_runners.
2. Derive stretch_delivery_time_proxy from pitch timing data in raw.pitches.
3. Add computed columns to derived.pitcher_season_metrics or a supplementary table.
4. Baseball Analyst reviews feature set before implementation begins.
5. Baseball Analyst confirmation that feature set captures the right dimensions of 'pitcher allows runners to run.'</t>
        </is>
      </c>
      <c r="L36" s="84" t="inlineStr">
        <is>
          <t>Baseball Analyst sign-off required before implementation</t>
        </is>
      </c>
      <c r="M36" s="84" t="inlineStr">
        <is>
          <t>Feature definition must be locked before SIM-045 (pitcher-steal engine) is built.</t>
        </is>
      </c>
    </row>
    <row r="37" ht="168.75" customHeight="1" s="47">
      <c r="A37" s="84" t="inlineStr">
        <is>
          <t>SIM-075</t>
        </is>
      </c>
      <c r="B37" s="84" t="inlineStr">
        <is>
          <t>Vectorize arsenal W2 cache lookup — replace O(N) Python dict loop with NumPy matrix row slice</t>
        </is>
      </c>
      <c r="C37" s="84" t="inlineStr">
        <is>
          <t>Performance</t>
        </is>
      </c>
      <c r="D37" s="84" t="inlineStr">
        <is>
          <t>Improvement</t>
        </is>
      </c>
      <c r="E37" s="85" t="inlineStr">
        <is>
          <t>P1</t>
        </is>
      </c>
      <c r="F37" s="84" t="inlineStr">
        <is>
          <t>M (3–5 days)</t>
        </is>
      </c>
      <c r="G37" s="84" t="inlineStr">
        <is>
          <t>ML Engineer + Performance Engineer</t>
        </is>
      </c>
      <c r="H37" s="87" t="inlineStr">
        <is>
          <t>Closed</t>
        </is>
      </c>
      <c r="I37" s="84" t="inlineStr">
        <is>
          <t>No</t>
        </is>
      </c>
      <c r="J37" s="84" t="inlineStr">
        <is>
          <t>ELEVATED from P2 Phase 4/5 to P1 current sprint. The O(N) Python dict loop in HandednessPartition.score_all() contributes an estimated 72 seconds of overhead per 100-game batch — more than double the 30-second SLA. The ArsenalCache stores distances in a dict with tuple-of-tuples keys consuming ~576MB for 2,400 profiles. A NumPy matrix reduces this to ~22MB and enables O(1) row slice retrieval.</t>
        </is>
      </c>
      <c r="K37" s="84" t="inlineStr">
        <is>
          <t>1. Replace dict[tuple, float] with 2D float32 NumPy matrix indexed by pitcher_index.
2. Add pitcher_to_index: dict[tuple[int,int], int] mapping at cache build time.
3. Store distances as cache_matrix[min(i,j), max(i,j)] (upper triangular).
4. Expose single row retrieval: all_arsenal_scores = cache_matrix[query_idx].
5. Performance benchmark (SIM-118 harness): retrieving all arsenal scores for one query pitcher from 2,400-profile cache takes &lt;= 0.1ms.
6. Memory benchmark: ArsenalCache for 2,400 RHP profiles &lt;= 30MB (vs current ~576MB).
7. All existing ArsenalCache tests pass (save/load, symmetric keys, etc.).</t>
        </is>
      </c>
      <c r="L37" s="84" t="inlineStr">
        <is>
          <t>SIM-071 (base.py refactor should happen first)</t>
        </is>
      </c>
      <c r="M37" s="84" t="inlineStr">
        <is>
          <t>FATAL SLA risk if not fixed before Phase 4 simulation loop builds on top of the cache.</t>
        </is>
      </c>
    </row>
    <row r="38" ht="135.75" customHeight="1" s="47">
      <c r="A38" s="84" t="inlineStr">
        <is>
          <t>SIM-149</t>
        </is>
      </c>
      <c r="B38" s="84" t="inlineStr">
        <is>
          <t>Create tests/unit/test_baserunner_similarity.py — engine marked complete but untested</t>
        </is>
      </c>
      <c r="C38" s="84" t="inlineStr">
        <is>
          <t>Testing</t>
        </is>
      </c>
      <c r="D38" s="84" t="inlineStr">
        <is>
          <t>Bug</t>
        </is>
      </c>
      <c r="E38" s="85" t="inlineStr">
        <is>
          <t>P1</t>
        </is>
      </c>
      <c r="F38" s="84" t="inlineStr">
        <is>
          <t>M (3–5 days)</t>
        </is>
      </c>
      <c r="G38" s="84" t="inlineStr">
        <is>
          <t>ML Engineer + QA/DevOps</t>
        </is>
      </c>
      <c r="H38" s="87" t="inlineStr">
        <is>
          <t>Closed</t>
        </is>
      </c>
      <c r="I38" s="84" t="inlineStr">
        <is>
          <t>No</t>
        </is>
      </c>
      <c r="J38" s="84" t="inlineStr">
        <is>
          <t>No unit test file exists for baserunner_similarity.py despite the engine being marked complete. Four known bugs have been fixed (SIM-070, SIM-077 sprint speed proxy, SIM-073 analogue for EB_N_PRIOR). None have regression coverage. Phase 2 definition of done requires a passing test file for every engine.</t>
        </is>
      </c>
      <c r="K38" s="84" t="inlineStr">
        <is>
          <t>1. Create tests/unit/test_baserunner_similarity.py using __new__ bypass pattern.
2. Test sprint speed source: measured profile differs in Speed sub-score from null profile.
3. Regression SIM-070: profile with 5 advancement opportunities loads and returns a result (not empty list).
4. Regression SIM-077: faster runner (higher sprint_speed) produces higher Speed sub-score than slower runner with identical Aggression/Success.
5. Standard suite: query symmetry, score bounds [0,1], self-exclusion, cross-season inclusion.
6. Minimum 25 tests. Add to CI phase-2-completion check.</t>
        </is>
      </c>
      <c r="L38" s="84" t="inlineStr">
        <is>
          <t>SIM-070, SIM-077 (bugs must be fixed first)</t>
        </is>
      </c>
      <c r="M38" s="84" t="inlineStr">
        <is>
          <t>Phase 2 cannot be closed without this file.</t>
        </is>
      </c>
    </row>
    <row r="39" ht="113.25" customHeight="1" s="47">
      <c r="A39" s="84" t="inlineStr">
        <is>
          <t>SIM-150</t>
        </is>
      </c>
      <c r="B39" s="84" t="inlineStr">
        <is>
          <t>Extend test_similarity_calibration.py to cover all 5 MLE calibration bugs</t>
        </is>
      </c>
      <c r="C39" s="84" t="inlineStr">
        <is>
          <t>Testing</t>
        </is>
      </c>
      <c r="D39" s="84" t="inlineStr">
        <is>
          <t>Bug</t>
        </is>
      </c>
      <c r="E39" s="85" t="inlineStr">
        <is>
          <t>P1</t>
        </is>
      </c>
      <c r="F39" s="84" t="inlineStr">
        <is>
          <t>S (1–2 days)</t>
        </is>
      </c>
      <c r="G39" s="84" t="inlineStr">
        <is>
          <t>ML Engineer + QA/DevOps</t>
        </is>
      </c>
      <c r="H39" s="87" t="inlineStr">
        <is>
          <t>Closed</t>
        </is>
      </c>
      <c r="I39" s="84" t="inlineStr">
        <is>
          <t>No</t>
        </is>
      </c>
      <c r="J39" s="84" t="inlineStr">
        <is>
          <t>Current calibration tests cover the CalibrationReport data structure and the basic calibrate_sigma() happy path. None of the 5 calibration bugs found in the MLE audit (SIM-066 through SIM-069, SIM-073) have test coverage. These bugs would have been caught in code review if these tests had existed.</t>
        </is>
      </c>
      <c r="K39" s="84" t="inlineStr">
        <is>
          <t>1. Regression SIM-066: 'from similarity_calibration import calibrate_arsenal_gamma' must raise ImportError.
2. Positive SIM-066: calibrate_arsenal_scale() returns value in [3.0, 6.0] on synthetic W2 distribution with known median.
3. Regression SIM-069: mock profile with sample_pa=500 but sample_pa_vs_l=20; assert platoon EB alpha &lt; 0.2.
4. Regression SIM-073: calibrate_eb_prior() on batter-scale data (mean ~500 PA per profile) returns N_prior &gt; 50.
5. Verify CalibrationReport.arsenal_gamma field renamed to arsenal_scale.</t>
        </is>
      </c>
      <c r="L39" s="84" t="inlineStr">
        <is>
          <t>SIM-066, SIM-067, SIM-068, SIM-069, SIM-073 (bugs fixed first)</t>
        </is>
      </c>
      <c r="M39" s="84" t="inlineStr">
        <is>
          <t>Retroactive regression coverage — prevents all 5 calibration bugs from re-appearing.</t>
        </is>
      </c>
    </row>
    <row r="40" hidden="1" ht="23.25" customHeight="1" s="47">
      <c r="A40" s="84" t="inlineStr">
        <is>
          <t>SIM-066</t>
        </is>
      </c>
      <c r="B40" s="84" t="inlineStr">
        <is>
          <t>BaserunnerStealSimilarityEngine (Step 2.5)</t>
        </is>
      </c>
      <c r="C40" s="84" t="inlineStr">
        <is>
          <t>Similarity Engines</t>
        </is>
      </c>
      <c r="D40" s="84" t="inlineStr">
        <is>
          <t>Feature</t>
        </is>
      </c>
      <c r="E40" s="85" t="inlineStr">
        <is>
          <t>P1</t>
        </is>
      </c>
      <c r="F40" s="84" t="inlineStr">
        <is>
          <t>M</t>
        </is>
      </c>
      <c r="G40" s="84" t="inlineStr">
        <is>
          <t>ML Engineer</t>
        </is>
      </c>
      <c r="H40" s="89" t="inlineStr">
        <is>
          <t>Closed</t>
        </is>
      </c>
      <c r="I40" s="84" t="inlineStr">
        <is>
          <t>No</t>
        </is>
      </c>
      <c r="J40" s="84" t="inlineStr">
        <is>
          <t>No engine matched baserunners by steal tendency / first-step / success.</t>
        </is>
      </c>
      <c r="K40" s="84" t="inlineStr">
        <is>
          <t>RBF engine with 3 sub-scores (tendency 40, jump 35, success 25); EB_N_PRIOR=20.</t>
        </is>
      </c>
      <c r="L40" s="84" t="inlineStr">
        <is>
          <t>SIM-071 (package structure)</t>
        </is>
      </c>
      <c r="M40" s="84" t="inlineStr">
        <is>
          <t>Shipped sprint 2026-05-05. Full details in CHANGES.md.</t>
        </is>
      </c>
    </row>
    <row r="41" hidden="1" ht="23.25" customHeight="1" s="47">
      <c r="A41" s="84" t="inlineStr">
        <is>
          <t>SIM-067</t>
        </is>
      </c>
      <c r="B41" s="84" t="inlineStr">
        <is>
          <t>CatcherSimilarityEngine (Step 2.6)</t>
        </is>
      </c>
      <c r="C41" s="84" t="inlineStr">
        <is>
          <t>Similarity Engines</t>
        </is>
      </c>
      <c r="D41" s="84" t="inlineStr">
        <is>
          <t>Feature</t>
        </is>
      </c>
      <c r="E41" s="85" t="inlineStr">
        <is>
          <t>P1</t>
        </is>
      </c>
      <c r="F41" s="84" t="inlineStr">
        <is>
          <t>M</t>
        </is>
      </c>
      <c r="G41" s="84" t="inlineStr">
        <is>
          <t>ML Engineer</t>
        </is>
      </c>
      <c r="H41" s="89" t="inlineStr">
        <is>
          <t>Closed</t>
        </is>
      </c>
      <c r="I41" s="84" t="inlineStr">
        <is>
          <t>No</t>
        </is>
      </c>
      <c r="J41" s="84" t="inlineStr">
        <is>
          <t>Multi-dimensional catcher profile (framing, blocking, throwing, offense).</t>
        </is>
      </c>
      <c r="K41" s="84" t="inlineStr">
        <is>
          <t>RBF with 4 sub-scores; EB_N_PRIOR=15; min 300 pitches received.</t>
        </is>
      </c>
      <c r="L41" s="84" t="inlineStr">
        <is>
          <t>SIM-071</t>
        </is>
      </c>
      <c r="M41" s="84" t="inlineStr">
        <is>
          <t>Shipped sprint 2026-05-05. Superseded for throwing split by SIM-072.</t>
        </is>
      </c>
    </row>
    <row r="42" hidden="1" ht="23.25" customHeight="1" s="47">
      <c r="A42" s="84" t="inlineStr">
        <is>
          <t>SIM-068</t>
        </is>
      </c>
      <c r="B42" s="84" t="inlineStr">
        <is>
          <t>PitcherStealSimilarityEngine (Step 2.7)</t>
        </is>
      </c>
      <c r="C42" s="84" t="inlineStr">
        <is>
          <t>Similarity Engines</t>
        </is>
      </c>
      <c r="D42" s="84" t="inlineStr">
        <is>
          <t>Feature</t>
        </is>
      </c>
      <c r="E42" s="85" t="inlineStr">
        <is>
          <t>P1</t>
        </is>
      </c>
      <c r="F42" s="84" t="inlineStr">
        <is>
          <t>M</t>
        </is>
      </c>
      <c r="G42" s="84" t="inlineStr">
        <is>
          <t>ML Engineer</t>
        </is>
      </c>
      <c r="H42" s="89" t="inlineStr">
        <is>
          <t>Closed</t>
        </is>
      </c>
      <c r="I42" s="84" t="inlineStr">
        <is>
          <t>No</t>
        </is>
      </c>
      <c r="J42" s="84" t="inlineStr">
        <is>
          <t>Pitcher hold-runner / disengagement / pickoff profile.</t>
        </is>
      </c>
      <c r="K42" s="84" t="inlineStr">
        <is>
          <t>RBF with delivery/disengagement/outcomes; EB_N_PRIOR=25.</t>
        </is>
      </c>
      <c r="L42" s="84" t="inlineStr">
        <is>
          <t>SIM-071</t>
        </is>
      </c>
      <c r="M42" s="84" t="inlineStr">
        <is>
          <t>Shipped sprint 2026-05-05.</t>
        </is>
      </c>
    </row>
    <row r="43" hidden="1" ht="23.25" customHeight="1" s="47">
      <c r="A43" s="84" t="inlineStr">
        <is>
          <t>SIM-069</t>
        </is>
      </c>
      <c r="B43" s="84" t="inlineStr">
        <is>
          <t>ManagerSimilarityEngine (Step 2.8)</t>
        </is>
      </c>
      <c r="C43" s="84" t="inlineStr">
        <is>
          <t>Similarity Engines</t>
        </is>
      </c>
      <c r="D43" s="84" t="inlineStr">
        <is>
          <t>Feature</t>
        </is>
      </c>
      <c r="E43" s="85" t="inlineStr">
        <is>
          <t>P1</t>
        </is>
      </c>
      <c r="F43" s="84" t="inlineStr">
        <is>
          <t>M</t>
        </is>
      </c>
      <c r="G43" s="84" t="inlineStr">
        <is>
          <t>ML Engineer</t>
        </is>
      </c>
      <c r="H43" s="89" t="inlineStr">
        <is>
          <t>Closed</t>
        </is>
      </c>
      <c r="I43" s="84" t="inlineStr">
        <is>
          <t>No</t>
        </is>
      </c>
      <c r="J43" s="84" t="inlineStr">
        <is>
          <t>Manager behavioural fingerprint (pitcher usage, aggression, platoon).</t>
        </is>
      </c>
      <c r="K43" s="84" t="inlineStr">
        <is>
          <t>RBF with 3 sub-scores; EB_N_PRIOR=30; min 50 games.</t>
        </is>
      </c>
      <c r="L43" s="84" t="inlineStr">
        <is>
          <t>SIM-071</t>
        </is>
      </c>
      <c r="M43" s="84" t="inlineStr">
        <is>
          <t>Shipped sprint 2026-05-05.</t>
        </is>
      </c>
    </row>
    <row r="44" hidden="1" ht="23.25" customHeight="1" s="47">
      <c r="A44" s="84" t="inlineStr">
        <is>
          <t>SIM-070</t>
        </is>
      </c>
      <c r="B44" s="84" t="inlineStr">
        <is>
          <t>SituationSimilarityEngine (Step 2.9) — KDTree</t>
        </is>
      </c>
      <c r="C44" s="84" t="inlineStr">
        <is>
          <t>Similarity Engines</t>
        </is>
      </c>
      <c r="D44" s="84" t="inlineStr">
        <is>
          <t>Feature</t>
        </is>
      </c>
      <c r="E44" s="85" t="inlineStr">
        <is>
          <t>P1</t>
        </is>
      </c>
      <c r="F44" s="84" t="inlineStr">
        <is>
          <t>L</t>
        </is>
      </c>
      <c r="G44" s="84" t="inlineStr">
        <is>
          <t>ML Engineer</t>
        </is>
      </c>
      <c r="H44" s="89" t="inlineStr">
        <is>
          <t>Closed</t>
        </is>
      </c>
      <c r="I44" s="84" t="inlineStr">
        <is>
          <t>No</t>
        </is>
      </c>
      <c r="J44" s="84" t="inlineStr">
        <is>
          <t>Per-PA situation lookup (count + outs + baserunners + leverage).</t>
        </is>
      </c>
      <c r="K44" s="84" t="inlineStr">
        <is>
          <t>scipy KDTree; 11-feature SituationVector; importance-weighted scaling.</t>
        </is>
      </c>
      <c r="L44" s="84" t="inlineStr">
        <is>
          <t>SIM-071</t>
        </is>
      </c>
      <c r="M44" s="84" t="inlineStr">
        <is>
          <t>Shipped sprint 2026-05-05.</t>
        </is>
      </c>
    </row>
    <row r="45" hidden="1" ht="23.25" customHeight="1" s="47">
      <c r="A45" s="84" t="inlineStr">
        <is>
          <t>SIM-071</t>
        </is>
      </c>
      <c r="B45" s="84" t="inlineStr">
        <is>
          <t>ML Engine Tests + Diagnostics Enhancement</t>
        </is>
      </c>
      <c r="C45" s="84" t="inlineStr">
        <is>
          <t>Testing</t>
        </is>
      </c>
      <c r="D45" s="84" t="inlineStr">
        <is>
          <t>Feature</t>
        </is>
      </c>
      <c r="E45" s="85" t="inlineStr">
        <is>
          <t>P1</t>
        </is>
      </c>
      <c r="F45" s="84" t="inlineStr">
        <is>
          <t>M</t>
        </is>
      </c>
      <c r="G45" s="84" t="inlineStr">
        <is>
          <t>ML Engineer</t>
        </is>
      </c>
      <c r="H45" s="89" t="inlineStr">
        <is>
          <t>Closed</t>
        </is>
      </c>
      <c r="I45" s="84" t="inlineStr">
        <is>
          <t>No</t>
        </is>
      </c>
      <c r="J45" s="84" t="inlineStr">
        <is>
          <t>No tests for SIM-066..070 + run_generic_diagnostics didn't exist.</t>
        </is>
      </c>
      <c r="K45" s="84" t="inlineStr">
        <is>
          <t>Added run_generic_diagnostics; ~50 new unit tests across 7 classes.</t>
        </is>
      </c>
      <c r="L45" s="84" t="inlineStr">
        <is>
          <t>SIM-066..070</t>
        </is>
      </c>
      <c r="M45" s="84" t="inlineStr">
        <is>
          <t>Shipped sprint 2026-05-05.</t>
        </is>
      </c>
    </row>
    <row r="46" hidden="1" ht="23.25" customHeight="1" s="47">
      <c r="A46" s="84" t="inlineStr">
        <is>
          <t>SIM-082</t>
        </is>
      </c>
      <c r="B46" s="84" t="inlineStr">
        <is>
          <t>Fix ON CONFLICT Crash in _upsert_lineup_state()</t>
        </is>
      </c>
      <c r="C46" s="84" t="inlineStr">
        <is>
          <t>Live Pipeline</t>
        </is>
      </c>
      <c r="D46" s="84" t="inlineStr">
        <is>
          <t>Bug</t>
        </is>
      </c>
      <c r="E46" s="85" t="inlineStr">
        <is>
          <t>P1</t>
        </is>
      </c>
      <c r="F46" s="84" t="inlineStr">
        <is>
          <t>S</t>
        </is>
      </c>
      <c r="G46" s="84" t="inlineStr">
        <is>
          <t>Data Engineer</t>
        </is>
      </c>
      <c r="H46" s="89" t="inlineStr">
        <is>
          <t>Closed</t>
        </is>
      </c>
      <c r="I46" s="84" t="inlineStr">
        <is>
          <t>No</t>
        </is>
      </c>
      <c r="J46" s="84" t="inlineStr">
        <is>
          <t>Missing unique partial index made every live lineup upsert raise.</t>
        </is>
      </c>
      <c r="K46" s="84" t="inlineStr">
        <is>
          <t>Alembic migration 0002 adds idx_lineup_state_live_game.</t>
        </is>
      </c>
      <c r="L46" s="84" t="inlineStr">
        <is>
          <t>SIM-084</t>
        </is>
      </c>
      <c r="M46" s="84" t="inlineStr">
        <is>
          <t>Shipped sprint 2026-05-05.</t>
        </is>
      </c>
    </row>
    <row r="47" hidden="1" ht="23.25" customHeight="1" s="47">
      <c r="A47" s="84" t="inlineStr">
        <is>
          <t>SIM-083</t>
        </is>
      </c>
      <c r="B47" s="84" t="inlineStr">
        <is>
          <t>Move ETL Freshness DDL into Canonical Schema</t>
        </is>
      </c>
      <c r="C47" s="84" t="inlineStr">
        <is>
          <t>Schema / ETL</t>
        </is>
      </c>
      <c r="D47" s="84" t="inlineStr">
        <is>
          <t>Bug</t>
        </is>
      </c>
      <c r="E47" s="85" t="inlineStr">
        <is>
          <t>P1</t>
        </is>
      </c>
      <c r="F47" s="84" t="inlineStr">
        <is>
          <t>S</t>
        </is>
      </c>
      <c r="G47" s="84" t="inlineStr">
        <is>
          <t>Data Engineer</t>
        </is>
      </c>
      <c r="H47" s="89" t="inlineStr">
        <is>
          <t>Closed</t>
        </is>
      </c>
      <c r="I47" s="84" t="inlineStr">
        <is>
          <t>No</t>
        </is>
      </c>
      <c r="J47" s="84" t="inlineStr">
        <is>
          <t>FRESHNESS_TABLE_DDL was a dead string constant; table never existed.</t>
        </is>
      </c>
      <c r="K47" s="84" t="inlineStr">
        <is>
          <t>Migration 0003 creates raw.etl_data_freshness, game_odds, prop_odds, pipeline_run_log.</t>
        </is>
      </c>
      <c r="L47" s="84" t="inlineStr">
        <is>
          <t>SIM-084</t>
        </is>
      </c>
      <c r="M47" s="84" t="inlineStr">
        <is>
          <t>Shipped sprint 2026-05-05.</t>
        </is>
      </c>
    </row>
    <row r="48" hidden="1" ht="23.25" customHeight="1" s="47">
      <c r="A48" s="84" t="inlineStr">
        <is>
          <t>SIM-084</t>
        </is>
      </c>
      <c r="B48" s="84" t="inlineStr">
        <is>
          <t>Initialize Alembic Migration Framework</t>
        </is>
      </c>
      <c r="C48" s="84" t="inlineStr">
        <is>
          <t>Infrastructure</t>
        </is>
      </c>
      <c r="D48" s="84" t="inlineStr">
        <is>
          <t>Gap</t>
        </is>
      </c>
      <c r="E48" s="85" t="inlineStr">
        <is>
          <t>P1</t>
        </is>
      </c>
      <c r="F48" s="84" t="inlineStr">
        <is>
          <t>M</t>
        </is>
      </c>
      <c r="G48" s="84" t="inlineStr">
        <is>
          <t>Data Engineer</t>
        </is>
      </c>
      <c r="H48" s="89" t="inlineStr">
        <is>
          <t>Closed</t>
        </is>
      </c>
      <c r="I48" s="84" t="inlineStr">
        <is>
          <t>No</t>
        </is>
      </c>
      <c r="J48" s="84" t="inlineStr">
        <is>
          <t>No Alembic migrations existed; ~15 schema-change tickets had no path.</t>
        </is>
      </c>
      <c r="K48" s="84" t="inlineStr">
        <is>
          <t>alembic.ini, env.py, 0001 baseline migration, mandatory migration workflow.</t>
        </is>
      </c>
      <c r="L48" s="84" t="inlineStr">
        <is>
          <t>None</t>
        </is>
      </c>
      <c r="M48" s="84" t="inlineStr">
        <is>
          <t>Shipped sprint 2026-05-05. Foundation ticket.</t>
        </is>
      </c>
    </row>
    <row r="49" hidden="1" ht="23.25" customHeight="1" s="47">
      <c r="A49" s="84" t="inlineStr">
        <is>
          <t>SIM-085</t>
        </is>
      </c>
      <c r="B49" s="84" t="inlineStr">
        <is>
          <t>Composite situation index on raw.pitches</t>
        </is>
      </c>
      <c r="C49" s="84" t="inlineStr">
        <is>
          <t>Schema / ETL</t>
        </is>
      </c>
      <c r="D49" s="84" t="inlineStr">
        <is>
          <t>Bug</t>
        </is>
      </c>
      <c r="E49" s="85" t="inlineStr">
        <is>
          <t>P1</t>
        </is>
      </c>
      <c r="F49" s="84" t="inlineStr">
        <is>
          <t>S</t>
        </is>
      </c>
      <c r="G49" s="84" t="inlineStr">
        <is>
          <t>Data Engineer</t>
        </is>
      </c>
      <c r="H49" s="89" t="inlineStr">
        <is>
          <t>Closed</t>
        </is>
      </c>
      <c r="I49" s="84" t="inlineStr">
        <is>
          <t>No</t>
        </is>
      </c>
      <c r="J49" s="84" t="inlineStr">
        <is>
          <t>Step 1.1 required composite (inning,outs,balls,strikes,on_1b,on_2b,on_3b) index.</t>
        </is>
      </c>
      <c r="K49" s="84" t="inlineStr">
        <is>
          <t>Migration 0005; partial index WHERE clean.</t>
        </is>
      </c>
      <c r="L49" s="84" t="inlineStr">
        <is>
          <t>SIM-084</t>
        </is>
      </c>
      <c r="M49" s="84" t="inlineStr">
        <is>
          <t>Shipped sprint 2026-05-06. PM-accepted 2026-05-07.</t>
        </is>
      </c>
    </row>
    <row r="50" hidden="1" ht="23.25" customHeight="1" s="47">
      <c r="A50" s="84" t="inlineStr">
        <is>
          <t>SIM-086</t>
        </is>
      </c>
      <c r="B50" s="84" t="inlineStr">
        <is>
          <t>Fix live pipeline venue_id=0 FK violation</t>
        </is>
      </c>
      <c r="C50" s="84" t="inlineStr">
        <is>
          <t>Live Pipeline</t>
        </is>
      </c>
      <c r="D50" s="84" t="inlineStr">
        <is>
          <t>Bug</t>
        </is>
      </c>
      <c r="E50" s="85" t="inlineStr">
        <is>
          <t>P1</t>
        </is>
      </c>
      <c r="F50" s="84" t="inlineStr">
        <is>
          <t>S</t>
        </is>
      </c>
      <c r="G50" s="84" t="inlineStr">
        <is>
          <t>Data Engineer</t>
        </is>
      </c>
      <c r="H50" s="89" t="inlineStr">
        <is>
          <t>Closed</t>
        </is>
      </c>
      <c r="I50" s="84" t="inlineStr">
        <is>
          <t>No</t>
        </is>
      </c>
      <c r="J50" s="84" t="inlineStr">
        <is>
          <t>_upsert_game_record inserted 0 sentinel; FK violation silently dropped game.</t>
        </is>
      </c>
      <c r="K50" s="84" t="inlineStr">
        <is>
          <t>Migration 0006 makes venue_id nullable; venue_backfill_job.py.</t>
        </is>
      </c>
      <c r="L50" s="84" t="inlineStr">
        <is>
          <t>SIM-084</t>
        </is>
      </c>
      <c r="M50" s="84" t="inlineStr">
        <is>
          <t>Shipped sprint 2026-05-06. PM-accepted 2026-05-07.</t>
        </is>
      </c>
    </row>
    <row r="51" hidden="1" ht="23.25" customHeight="1" s="47">
      <c r="A51" s="84" t="inlineStr">
        <is>
          <t>SIM-087</t>
        </is>
      </c>
      <c r="B51" s="84" t="inlineStr">
        <is>
          <t>Lower ETL release_speed warning threshold</t>
        </is>
      </c>
      <c r="C51" s="84" t="inlineStr">
        <is>
          <t>Schema / ETL</t>
        </is>
      </c>
      <c r="D51" s="84" t="inlineStr">
        <is>
          <t>Bug</t>
        </is>
      </c>
      <c r="E51" s="85" t="inlineStr">
        <is>
          <t>P1</t>
        </is>
      </c>
      <c r="F51" s="84" t="inlineStr">
        <is>
          <t>S</t>
        </is>
      </c>
      <c r="G51" s="84" t="inlineStr">
        <is>
          <t>Data Engineer</t>
        </is>
      </c>
      <c r="H51" s="89" t="inlineStr">
        <is>
          <t>Closed</t>
        </is>
      </c>
      <c r="I51" s="84" t="inlineStr">
        <is>
          <t>No</t>
        </is>
      </c>
      <c r="J51" s="84" t="inlineStr">
        <is>
          <t>70 mph threshold flagged legitimate slow curveballs as bad data.</t>
        </is>
      </c>
      <c r="K51" s="84" t="inlineStr">
        <is>
          <t>Validator 70-&gt;60 mph; trigger 60-&gt;50 mph via migration 0007.</t>
        </is>
      </c>
      <c r="L51" s="84" t="inlineStr">
        <is>
          <t>SIM-084</t>
        </is>
      </c>
      <c r="M51" s="84" t="inlineStr">
        <is>
          <t>Shipped sprint 2026-05-06. PM-accepted 2026-05-07.</t>
        </is>
      </c>
    </row>
    <row r="52" hidden="1" ht="23.25" customHeight="1" s="47">
      <c r="A52" s="84" t="inlineStr">
        <is>
          <t>SIM-088</t>
        </is>
      </c>
      <c r="B52" s="84" t="inlineStr">
        <is>
          <t>Drop idx_pitches_pitch_type — wasted write overhead</t>
        </is>
      </c>
      <c r="C52" s="84" t="inlineStr">
        <is>
          <t>Schema / ETL</t>
        </is>
      </c>
      <c r="D52" s="84" t="inlineStr">
        <is>
          <t>Improvement</t>
        </is>
      </c>
      <c r="E52" s="85" t="inlineStr">
        <is>
          <t>P1</t>
        </is>
      </c>
      <c r="F52" s="84" t="inlineStr">
        <is>
          <t>S</t>
        </is>
      </c>
      <c r="G52" s="84" t="inlineStr">
        <is>
          <t>Data Engineer</t>
        </is>
      </c>
      <c r="H52" s="89" t="inlineStr">
        <is>
          <t>Closed</t>
        </is>
      </c>
      <c r="I52" s="84" t="inlineStr">
        <is>
          <t>No</t>
        </is>
      </c>
      <c r="J52" s="84" t="inlineStr">
        <is>
          <t>Schema comment said pitch_type is reference-only but standalone index added 15MB/season.</t>
        </is>
      </c>
      <c r="K52" s="84" t="inlineStr">
        <is>
          <t>Migration 0008 DROP INDEX; canonical schema updated; CONCURRENTLY rebuild documented.</t>
        </is>
      </c>
      <c r="L52" s="84" t="inlineStr">
        <is>
          <t>SIM-084</t>
        </is>
      </c>
      <c r="M52" s="84" t="inlineStr">
        <is>
          <t>Shipped sprint 2026-05-06. PM-accepted 2026-05-07.</t>
        </is>
      </c>
    </row>
    <row r="53" hidden="1" ht="23.25" customHeight="1" s="47">
      <c r="A53" s="84" t="inlineStr">
        <is>
          <t>SIM-089</t>
        </is>
      </c>
      <c r="B53" s="84" t="inlineStr">
        <is>
          <t>Composite (pitcher, season) partial index</t>
        </is>
      </c>
      <c r="C53" s="84" t="inlineStr">
        <is>
          <t>Schema / ETL</t>
        </is>
      </c>
      <c r="D53" s="84" t="inlineStr">
        <is>
          <t>Improvement</t>
        </is>
      </c>
      <c r="E53" s="85" t="inlineStr">
        <is>
          <t>P1</t>
        </is>
      </c>
      <c r="F53" s="84" t="inlineStr">
        <is>
          <t>S</t>
        </is>
      </c>
      <c r="G53" s="84" t="inlineStr">
        <is>
          <t>Data Engineer</t>
        </is>
      </c>
      <c r="H53" s="89" t="inlineStr">
        <is>
          <t>Closed</t>
        </is>
      </c>
      <c r="I53" s="84" t="inlineStr">
        <is>
          <t>No</t>
        </is>
      </c>
      <c r="J53" s="84" t="inlineStr">
        <is>
          <t>Profile-computor hot path scanned all rows for a pitcher across seasons.</t>
        </is>
      </c>
      <c r="K53" s="84" t="inlineStr">
        <is>
          <t>Migration 0009 partial composite index WHERE clean.</t>
        </is>
      </c>
      <c r="L53" s="84" t="inlineStr">
        <is>
          <t>SIM-084</t>
        </is>
      </c>
      <c r="M53" s="84" t="inlineStr">
        <is>
          <t>Shipped sprint 2026-05-06. PM-accepted 2026-05-07.</t>
        </is>
      </c>
    </row>
    <row r="54" hidden="1" ht="23.25" customHeight="1" s="47">
      <c r="A54" s="84" t="inlineStr">
        <is>
          <t>SIM-091</t>
        </is>
      </c>
      <c r="B54" s="84" t="inlineStr">
        <is>
          <t>Add detail tables to _delete_seasons()</t>
        </is>
      </c>
      <c r="C54" s="84" t="inlineStr">
        <is>
          <t>Schema / ETL</t>
        </is>
      </c>
      <c r="D54" s="84" t="inlineStr">
        <is>
          <t>Bug</t>
        </is>
      </c>
      <c r="E54" s="85" t="inlineStr">
        <is>
          <t>P1</t>
        </is>
      </c>
      <c r="F54" s="84" t="inlineStr">
        <is>
          <t>S</t>
        </is>
      </c>
      <c r="G54" s="84" t="inlineStr">
        <is>
          <t>Data Engineer</t>
        </is>
      </c>
      <c r="H54" s="89" t="inlineStr">
        <is>
          <t>Closed</t>
        </is>
      </c>
      <c r="I54" s="84" t="inlineStr">
        <is>
          <t>No</t>
        </is>
      </c>
      <c r="J54" s="84" t="inlineStr">
        <is>
          <t>Per-play detail tables missing from full-rebuild deletion list.</t>
        </is>
      </c>
      <c r="K54" s="84" t="inlineStr">
        <is>
          <t>Tables enumerated; regression test parses schema for completeness.</t>
        </is>
      </c>
      <c r="L54" s="84" t="inlineStr">
        <is>
          <t>None</t>
        </is>
      </c>
      <c r="M54" s="84" t="inlineStr">
        <is>
          <t>Shipped sprint 2026-05-06. PM-accepted 2026-05-07.</t>
        </is>
      </c>
    </row>
    <row r="55" hidden="1" ht="34.5" customHeight="1" s="47">
      <c r="A55" s="84" t="inlineStr">
        <is>
          <t>SIM-092</t>
        </is>
      </c>
      <c r="B55" s="84" t="inlineStr">
        <is>
          <t>Deduplicate raw.game_odds inserts</t>
        </is>
      </c>
      <c r="C55" s="84" t="inlineStr">
        <is>
          <t>Schema / ETL</t>
        </is>
      </c>
      <c r="D55" s="84" t="inlineStr">
        <is>
          <t>Improvement</t>
        </is>
      </c>
      <c r="E55" s="85" t="inlineStr">
        <is>
          <t>P1</t>
        </is>
      </c>
      <c r="F55" s="84" t="inlineStr">
        <is>
          <t>S</t>
        </is>
      </c>
      <c r="G55" s="84" t="inlineStr">
        <is>
          <t>Data Engineer</t>
        </is>
      </c>
      <c r="H55" s="89" t="inlineStr">
        <is>
          <t>Closed</t>
        </is>
      </c>
      <c r="I55" s="84" t="inlineStr">
        <is>
          <t>No</t>
        </is>
      </c>
      <c r="J55" s="84" t="inlineStr">
        <is>
          <t>_persist_odds had no ON CONFLICT; ~360 dup rows per 3-hour game.</t>
        </is>
      </c>
      <c r="K55" s="84" t="inlineStr">
        <is>
          <t>odds_hash SHA-256 column + partial unique index + ON CONFLICT DO NOTHING.</t>
        </is>
      </c>
      <c r="L55" s="84" t="inlineStr">
        <is>
          <t>SIM-084</t>
        </is>
      </c>
      <c r="M55" s="84" t="inlineStr">
        <is>
          <t>Shipped sprint 2026-05-07. PM-accepted 2026-05-07. SIM-094 carries forward backfill.</t>
        </is>
      </c>
    </row>
    <row r="56" hidden="1" ht="23.25" customHeight="1" s="47">
      <c r="A56" s="84" t="inlineStr">
        <is>
          <t>SIM-093</t>
        </is>
      </c>
      <c r="B56" s="84" t="inlineStr">
        <is>
          <t>Create raw.etl_errors + wire into ETL</t>
        </is>
      </c>
      <c r="C56" s="84" t="inlineStr">
        <is>
          <t>Schema / ETL</t>
        </is>
      </c>
      <c r="D56" s="84" t="inlineStr">
        <is>
          <t>Gap</t>
        </is>
      </c>
      <c r="E56" s="85" t="inlineStr">
        <is>
          <t>P1</t>
        </is>
      </c>
      <c r="F56" s="84" t="inlineStr">
        <is>
          <t>S</t>
        </is>
      </c>
      <c r="G56" s="84" t="inlineStr">
        <is>
          <t>Data Engineer</t>
        </is>
      </c>
      <c r="H56" s="89" t="inlineStr">
        <is>
          <t>Closed</t>
        </is>
      </c>
      <c r="I56" s="84" t="inlineStr">
        <is>
          <t>No</t>
        </is>
      </c>
      <c r="J56" s="84" t="inlineStr">
        <is>
          <t>Hard validation errors only logged; no audit trail or reprocessing path.</t>
        </is>
      </c>
      <c r="K56" s="84" t="inlineStr">
        <is>
          <t>Migration 0011 creates raw.etl_errors; _log_etl_errors + reprocess_errored_games.</t>
        </is>
      </c>
      <c r="L56" s="84" t="inlineStr">
        <is>
          <t>SIM-084</t>
        </is>
      </c>
      <c r="M56" s="84" t="inlineStr">
        <is>
          <t>Shipped sprint 2026-05-07. PM-accepted 2026-05-07.</t>
        </is>
      </c>
    </row>
    <row r="57" hidden="1" ht="23.25" customHeight="1" s="47">
      <c r="A57" s="84" t="inlineStr">
        <is>
          <t>SIM-099</t>
        </is>
      </c>
      <c r="B57" s="84" t="inlineStr">
        <is>
          <t>Fix Redis Key Mismatch (rate-limit fallback)</t>
        </is>
      </c>
      <c r="C57" s="84" t="inlineStr">
        <is>
          <t>Live Pipeline</t>
        </is>
      </c>
      <c r="D57" s="84" t="inlineStr">
        <is>
          <t>Bug</t>
        </is>
      </c>
      <c r="E57" s="85" t="inlineStr">
        <is>
          <t>P1</t>
        </is>
      </c>
      <c r="F57" s="84" t="inlineStr">
        <is>
          <t>S</t>
        </is>
      </c>
      <c r="G57" s="84" t="inlineStr">
        <is>
          <t>Backend Developer</t>
        </is>
      </c>
      <c r="H57" s="89" t="inlineStr">
        <is>
          <t>Closed</t>
        </is>
      </c>
      <c r="I57" s="84" t="inlineStr">
        <is>
          <t>No</t>
        </is>
      </c>
      <c r="J57" s="84" t="inlineStr">
        <is>
          <t>_cache_to_redis wrote game_state:{pk} but _fetch_feed read game_feed:{pk}.</t>
        </is>
      </c>
      <c r="K57" s="84" t="inlineStr">
        <is>
          <t>Both keys now written; second pitcher_id assignment removed.</t>
        </is>
      </c>
      <c r="L57" s="84" t="inlineStr">
        <is>
          <t>None</t>
        </is>
      </c>
      <c r="M57" s="84" t="inlineStr">
        <is>
          <t>Shipped sprint 2026-05-05.</t>
        </is>
      </c>
    </row>
    <row r="58" hidden="1" ht="34.5" customHeight="1" s="47">
      <c r="A58" s="84" t="inlineStr">
        <is>
          <t>SIM-148</t>
        </is>
      </c>
      <c r="B58" s="84" t="inlineStr">
        <is>
          <t>test_pitcher_similarity vacuous assertion + _score_pair guard</t>
        </is>
      </c>
      <c r="C58" s="84" t="inlineStr">
        <is>
          <t>Testing</t>
        </is>
      </c>
      <c r="D58" s="84" t="inlineStr">
        <is>
          <t>Bug</t>
        </is>
      </c>
      <c r="E58" s="85" t="inlineStr">
        <is>
          <t>P1</t>
        </is>
      </c>
      <c r="F58" s="84" t="inlineStr">
        <is>
          <t>S</t>
        </is>
      </c>
      <c r="G58" s="84" t="inlineStr">
        <is>
          <t>ML Engineer + QA/DevOps</t>
        </is>
      </c>
      <c r="H58" s="89" t="inlineStr">
        <is>
          <t>Closed</t>
        </is>
      </c>
      <c r="I58" s="84" t="inlineStr">
        <is>
          <t>No</t>
        </is>
      </c>
      <c r="J58" s="84" t="inlineStr">
        <is>
          <t>release_score asserts were vacuous; no _score_pair shape regression.</t>
        </is>
      </c>
      <c r="K58" s="84" t="inlineStr">
        <is>
          <t>Removed dead asserts; added 3-tuple regression; doctest sentinel.</t>
        </is>
      </c>
      <c r="L58" s="84" t="inlineStr">
        <is>
          <t>SIM-067</t>
        </is>
      </c>
      <c r="M58" s="84" t="inlineStr">
        <is>
          <t>Shipped sprint 2026-05-07. PM-accepted with documented `len==3` deviation from ticket-text `len==4`.</t>
        </is>
      </c>
    </row>
    <row r="59" hidden="1" ht="124.5" customHeight="1" s="47">
      <c r="A59" s="84" t="inlineStr">
        <is>
          <t>SIM-157</t>
        </is>
      </c>
      <c r="B59" s="84" t="inlineStr">
        <is>
          <t>Backfill legacy odds_hash + dedup pass on raw.game_odds</t>
        </is>
      </c>
      <c r="C59" s="84" t="inlineStr">
        <is>
          <t>Schema / ETL</t>
        </is>
      </c>
      <c r="D59" s="84" t="inlineStr">
        <is>
          <t>Improvement</t>
        </is>
      </c>
      <c r="E59" s="85" t="inlineStr">
        <is>
          <t>P1</t>
        </is>
      </c>
      <c r="F59" s="84" t="inlineStr">
        <is>
          <t>S (1–2 days)</t>
        </is>
      </c>
      <c r="G59" s="84" t="inlineStr">
        <is>
          <t>Data Engineer</t>
        </is>
      </c>
      <c r="H59" s="86" t="inlineStr">
        <is>
          <t>Shipped 2026-05-14 (sprint 2026-05-13)</t>
        </is>
      </c>
      <c r="I59" s="84" t="inlineStr">
        <is>
          <t>No</t>
        </is>
      </c>
      <c r="J59" s="84" t="inlineStr">
        <is>
          <t>SIM-092 added odds_hash + partial unique index but only enforces going forward. Pre-SIM-092 rows have NULL odds_hash and contain duplicates, inflating CLV row counts and slowing scans.</t>
        </is>
      </c>
      <c r="K59" s="84" t="inlineStr">
        <is>
          <t>1. scripts/backfill_odds_hash.py: compute odds_hash for every NULL row via LiveIngestionPipeline._odds_hash(); write back in 10k batches; report duplicate-detection stats.
2. DELETE keeps earliest row per (game_pk, source, odds_hash) group.
3. Promote partial unique index to a FULL unique index via Alembic 0012.
4. Validation: zero NULL hashes; zero duplicate (game_pk, source, hash) groups.
5. PR description includes row counts before/after for measurable storage win.</t>
        </is>
      </c>
      <c r="L59" s="84" t="inlineStr">
        <is>
          <t>SIM-092 (column + index already shipped)</t>
        </is>
      </c>
      <c r="M59" s="84" t="inlineStr">
        <is>
          <t>Created 2026-05-08 from SIM-092 carry-forward. Renumbered from SIM-094 to avoid collision with the existing Phase 2 polish ticket.</t>
        </is>
      </c>
    </row>
    <row r="60" hidden="1" ht="135.75" customHeight="1" s="47">
      <c r="A60" s="84" t="inlineStr">
        <is>
          <t>SIM-158</t>
        </is>
      </c>
      <c r="B60" s="84" t="inlineStr">
        <is>
          <t>Run EXPLAIN ANALYZE acceptance gates for SIM-085 + SIM-089</t>
        </is>
      </c>
      <c r="C60" s="84" t="inlineStr">
        <is>
          <t>Performance</t>
        </is>
      </c>
      <c r="D60" s="84" t="inlineStr">
        <is>
          <t>Validation</t>
        </is>
      </c>
      <c r="E60" s="85" t="inlineStr">
        <is>
          <t>P1</t>
        </is>
      </c>
      <c r="F60" s="84" t="inlineStr">
        <is>
          <t>S (1–2 days)</t>
        </is>
      </c>
      <c r="G60" s="84" t="inlineStr">
        <is>
          <t>Performance Engineer</t>
        </is>
      </c>
      <c r="H60" s="86" t="inlineStr">
        <is>
          <t>Shipped 2026-05-14 (sprint 2026-05-13)</t>
        </is>
      </c>
      <c r="I60" s="84" t="inlineStr">
        <is>
          <t>No</t>
        </is>
      </c>
      <c r="J60" s="84" t="inlineStr">
        <is>
          <t>SIM-085 (composite situation index) and SIM-089 ((pitcher, season) partial index) shipped with their acceptance gates expressed but not executed — sandbox lacked a populated DB. Once a 2024 staging DB exists, run the gates and record results.</t>
        </is>
      </c>
      <c r="K60" s="84" t="inlineStr">
        <is>
          <t>1. SIM-085: EXPLAIN (ANALYZE, BUFFERS) on a representative situation lookup reports Index Scan using idx_pitches_situation; &lt;30 ms.
2. SIM-089: EXPLAIN on _compute_pitcher_profiles primary fetch reports Index Scan using idx_pitches_pitcher_season_clean; &lt;50 ms for 3,000-pitch fetch.
3. Markdown report at docs/perf/2026-05-13-index-acceptance.md, linked from the SIM-085 / SIM-089 entries in CHANGES.md.
4. If either index loses to Seq Scan, file a follow-up + revert claim.</t>
        </is>
      </c>
      <c r="L60" s="84" t="inlineStr">
        <is>
          <t>SIM-085, SIM-089, populated 2024 staging DB</t>
        </is>
      </c>
      <c r="M60" s="84" t="inlineStr">
        <is>
          <t>Created 2026-05-08 from PM acceptance review. Renumbered from SIM-095 to avoid collision with the existing pitch_pool incremental ticket.</t>
        </is>
      </c>
    </row>
    <row r="61" hidden="1" ht="79.5" customHeight="1" s="47">
      <c r="A61" s="84" t="inlineStr">
        <is>
          <t>SIM-159</t>
        </is>
      </c>
      <c r="B61" s="84" t="inlineStr">
        <is>
          <t>Tighten SIM-132 vig RNG so moneyline boundary test is no longer flaky</t>
        </is>
      </c>
      <c r="C61" s="84" t="inlineStr">
        <is>
          <t>Live Pipeline</t>
        </is>
      </c>
      <c r="D61" s="84" t="inlineStr">
        <is>
          <t>Bug</t>
        </is>
      </c>
      <c r="E61" s="85" t="inlineStr">
        <is>
          <t>P1</t>
        </is>
      </c>
      <c r="F61" s="84" t="inlineStr">
        <is>
          <t>S (&lt;1 day)</t>
        </is>
      </c>
      <c r="G61" s="84" t="inlineStr">
        <is>
          <t>Backend Developer</t>
        </is>
      </c>
      <c r="H61" s="86" t="inlineStr">
        <is>
          <t>Shipped 2026-05-14 (sprint 2026-05-13)</t>
        </is>
      </c>
      <c r="I61" s="84" t="inlineStr">
        <is>
          <t>No</t>
        </is>
      </c>
      <c r="J61" s="84" t="inlineStr">
        <is>
          <t>MockOddsAPI samples vig from rng.uniform(0.06, 0.10). Overround = 1 + vig/2 ∈ [1.030, 1.050]. Regression test asserts strict &gt; 1.03; for game_pk=12345 the inflation path produces 1.0286.</t>
        </is>
      </c>
      <c r="K61" s="84" t="inlineStr">
        <is>
          <t>1. EITHER tighten RNG floor to rng.uniform(0.07, 0.10), OR weaken the assertion to &gt;= 1.03 - 1e-9 with an upper bound &lt; 1.05 + 1e-9. PM prefers the test-side change to keep the SIM-132 mock consistent with real sharp-book MLB data.
2. The [12345] parametrized case passes deterministically across 100 runs.
3. Calibration choice documented in test file.</t>
        </is>
      </c>
      <c r="L61" s="84" t="inlineStr">
        <is>
          <t>SIM-132 (already shipped)</t>
        </is>
      </c>
      <c r="M61" s="84" t="inlineStr">
        <is>
          <t>Created 2026-05-08 from PM acceptance review. Renumbered from SIM-096 to avoid collision with the existing async-models ticket.</t>
        </is>
      </c>
    </row>
  </sheetData>
  <autoFilter ref="A1:M61">
    <filterColumn colId="7" hiddenButton="0" showButton="1">
      <filters>
        <filter val="Open"/>
      </filters>
    </filterColumn>
  </autoFilter>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M25"/>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71484375" defaultRowHeight="15" customHeight="0" zeroHeight="0" outlineLevelRow="0"/>
  <cols>
    <col width="11" customWidth="1" style="46" min="1" max="1"/>
    <col width="50" customWidth="1" style="46" min="2" max="2"/>
    <col width="18" customWidth="1" style="46" min="3" max="3"/>
    <col width="16" customWidth="1" style="46" min="4" max="4"/>
    <col width="10" customWidth="1" style="46" min="5" max="5"/>
    <col width="18" customWidth="1" style="46" min="6" max="6"/>
    <col width="32" customWidth="1" style="46" min="7" max="7"/>
    <col width="12" customWidth="1" style="46" min="8" max="8"/>
    <col width="9" customWidth="1" style="46" min="9" max="9"/>
    <col width="50" customWidth="1" style="46" min="10" max="11"/>
    <col width="30" customWidth="1" style="46" min="12" max="12"/>
    <col width="35" customWidth="1" style="46" min="13" max="13"/>
  </cols>
  <sheetData>
    <row r="1" ht="30" customHeight="1" s="47">
      <c r="A1" s="83" t="inlineStr">
        <is>
          <t>Ticket ID</t>
        </is>
      </c>
      <c r="B1" s="83" t="inlineStr">
        <is>
          <t>Title</t>
        </is>
      </c>
      <c r="C1" s="83" t="inlineStr">
        <is>
          <t>Category</t>
        </is>
      </c>
      <c r="D1" s="83" t="inlineStr">
        <is>
          <t>Type</t>
        </is>
      </c>
      <c r="E1" s="83" t="inlineStr">
        <is>
          <t>Priority</t>
        </is>
      </c>
      <c r="F1" s="83" t="inlineStr">
        <is>
          <t>Size</t>
        </is>
      </c>
      <c r="G1" s="83" t="inlineStr">
        <is>
          <t>Assignee Role</t>
        </is>
      </c>
      <c r="H1" s="83" t="inlineStr">
        <is>
          <t>Status</t>
        </is>
      </c>
      <c r="I1" s="83" t="inlineStr">
        <is>
          <t>Blocked</t>
        </is>
      </c>
      <c r="J1" s="83" t="inlineStr">
        <is>
          <t>Description/Problem Statement</t>
        </is>
      </c>
      <c r="K1" s="83" t="inlineStr">
        <is>
          <t>Acceptance Criteria</t>
        </is>
      </c>
      <c r="L1" s="83" t="inlineStr">
        <is>
          <t>Dependencies</t>
        </is>
      </c>
      <c r="M1" s="83" t="inlineStr">
        <is>
          <t>Notes/Rationale</t>
        </is>
      </c>
    </row>
    <row r="2" ht="157.5" customHeight="1" s="47">
      <c r="A2" s="84" t="inlineStr">
        <is>
          <t>SIM-118</t>
        </is>
      </c>
      <c r="B2" s="84" t="inlineStr">
        <is>
          <t>Create performance benchmark harness — without measurement, SLA targets are estimates</t>
        </is>
      </c>
      <c r="C2" s="84" t="inlineStr">
        <is>
          <t>Performance</t>
        </is>
      </c>
      <c r="D2" s="84" t="inlineStr">
        <is>
          <t>Gap</t>
        </is>
      </c>
      <c r="E2" s="85" t="inlineStr">
        <is>
          <t>P1</t>
        </is>
      </c>
      <c r="F2" s="84" t="inlineStr">
        <is>
          <t>M (3–5 days)</t>
        </is>
      </c>
      <c r="G2" s="84" t="inlineStr">
        <is>
          <t>Performance Engineer</t>
        </is>
      </c>
      <c r="H2" s="87" t="inlineStr">
        <is>
          <t>Closed</t>
        </is>
      </c>
      <c r="I2" s="84" t="inlineStr">
        <is>
          <t>No</t>
        </is>
      </c>
      <c r="J2" s="84" t="inlineStr">
        <is>
          <t>No benchmarking infrastructure exists. All performance estimates from the PE audit are models derived from known Python/FAISS throughput, not measurements on this codebase. The benchmark harness must exist before Phase 4 simulation loop code is written, or performance regressions accumulate invisibly.</t>
        </is>
      </c>
      <c r="K2" s="84" t="inlineStr">
        <is>
          <t>1. Create tests/performance/bench_simulation.py with pytest-benchmark fixtures.
2. Benchmark 1 — Engine query latency: pitcher engine query() p50 &lt;= 5ms, p99 &lt;= 20ms.
3. Benchmark 2 — Arsenal cache lookup: all scores for one query pitcher from 2,400-profile cache &lt;= 0.1ms (validates SIM-075 NumPy slice).
4. Benchmark 3 — GMM fitting: all pitchers for one season &lt;= 10 minutes on CI machine.
5. Benchmark 4 (Phase 4 stub): simulate_game() median &lt;= 2s — add with pytest.mark.skip until Phase 4 exists.
6. Benchmark 5 (Phase 5 stub): run_simulations(n=100) &lt;= 30s — same skip pattern.
7. Add to CI as weekly scheduled job (not per-commit).</t>
        </is>
      </c>
      <c r="L2" s="84" t="inlineStr">
        <is>
          <t>SIM-075 (must be benchmarked after vectorization), SIM-147 (pytest config)</t>
        </is>
      </c>
      <c r="M2" s="84" t="inlineStr">
        <is>
          <t>All PE recommendations are hypothetical until this exists. Build it now, validate Phase 4 later.</t>
        </is>
      </c>
    </row>
    <row r="3" ht="180" customHeight="1" s="47">
      <c r="A3" s="84" t="inlineStr">
        <is>
          <t>SIM-128</t>
        </is>
      </c>
      <c r="B3" s="84" t="inlineStr">
        <is>
          <t>Redesign override panel as staged-change queue with undo, multi-change, visual indicator system</t>
        </is>
      </c>
      <c r="C3" s="84" t="inlineStr">
        <is>
          <t>Frontend</t>
        </is>
      </c>
      <c r="D3" s="84" t="inlineStr">
        <is>
          <t>Improvement</t>
        </is>
      </c>
      <c r="E3" s="85" t="inlineStr">
        <is>
          <t>P1</t>
        </is>
      </c>
      <c r="F3" s="84" t="inlineStr">
        <is>
          <t>L (1–2 weeks)</t>
        </is>
      </c>
      <c r="G3" s="84" t="inlineStr">
        <is>
          <t>UX Designer</t>
        </is>
      </c>
      <c r="H3" s="87" t="inlineStr">
        <is>
          <t>Open</t>
        </is>
      </c>
      <c r="I3" s="84" t="inlineStr">
        <is>
          <t>No</t>
        </is>
      </c>
      <c r="J3" s="84" t="inlineStr">
        <is>
          <t>The current override spec supports only one substitution at a time with no undo. Real managerial decisions involve multiple simultaneous changes. The visual indicator for override mode is required but not designed. This is the most complex UI component in the entire platform.</t>
        </is>
      </c>
      <c r="K3" s="84" t="inlineStr">
        <is>
          <t>1. Staging area: queue of pending changes before confirmation. Each change listed with player_out → player_in + position + X button to remove.
2. Confirm All: single button submits all staged changes in one POST /simulate/with_override call.
3. Override visual indicator (four rules): (a) full-width amber banner above simulation results; (b) WinProbabilityBar, ProjectedBoxscore, ScoreDistributionChart all have amber left border; (c) page tab shows '(Override)'; (d) state persists until user clicks 'Clear override' — never auto-cleared.
4. Side-by-side comparison: WinProbabilityBar shows two stacked bars — 'Override' (amber) and 'Actual' (team color). ScoreDistributionChart shows overlapping histograms at 30% opacity.
5. Backend: POST /simulate/with_override must accept array of substitutions.</t>
        </is>
      </c>
      <c r="L3" s="84" t="inlineStr">
        <is>
          <t>SIM-109 (multi-substitution API endpoint), SIM-126 (Game Page layout — override drawer position)</t>
        </is>
      </c>
      <c r="M3" s="84" t="inlineStr">
        <is>
          <t>Most complex UI component — must be fully spec'd before Phase 6 Step 6.5 begins.</t>
        </is>
      </c>
    </row>
    <row r="4" ht="157.5" customHeight="1" s="47">
      <c r="A4" s="84" t="inlineStr">
        <is>
          <t>SIM-111</t>
        </is>
      </c>
      <c r="B4" s="84" t="inlineStr">
        <is>
          <t>Define play pool query API column contracts before Phase 3 delivery</t>
        </is>
      </c>
      <c r="C4" s="84" t="inlineStr">
        <is>
          <t>Backend API</t>
        </is>
      </c>
      <c r="D4" s="84" t="inlineStr">
        <is>
          <t>Gap</t>
        </is>
      </c>
      <c r="E4" s="85" t="inlineStr">
        <is>
          <t>P1</t>
        </is>
      </c>
      <c r="F4" s="84" t="inlineStr">
        <is>
          <t>S (1–2 days)</t>
        </is>
      </c>
      <c r="G4" s="84" t="inlineStr">
        <is>
          <t>Backend Developer + Data Engineer</t>
        </is>
      </c>
      <c r="H4" s="87" t="inlineStr">
        <is>
          <t>Closed</t>
        </is>
      </c>
      <c r="I4" s="84" t="inlineStr">
        <is>
          <t>No</t>
        </is>
      </c>
      <c r="J4" s="84" t="inlineStr">
        <is>
          <t>The play pool query API (get_pitch_pool(), get_outcome_pool(), get_batted_ball_pool()) has no defined column contract. Phase 4 Steps 2 and 3b sample from DataFrames returned by these functions. Without knowing what columns exist, Phase 4 step implementations will be written against assumed schemas that break at integration time.</t>
        </is>
      </c>
      <c r="K4" s="84" t="inlineStr">
        <is>
          <t>1. Define get_pitch_pool() → DataFrame: [pitch_id, pitcher_id, batter_id, p_throws, stand, velo, ivb, hb, spin_rate, spin_axis, release_x, release_z, release_ext, plate_x, plate_z, zone, season, game_date, recency_weight, combined_weight].
2. Define get_outcome_pool() additions: [exit_velo, launch_angle, spray_angle, pull_relative_spray_angle, bb_type, result_hits, result_outs, result_runs, fielded_by_position, fielding_error_position].
3. Define combined_weight computation: pitcher_similarity × batter_similarity × situation_similarity × recency_weight.
4. Formalise as TypedDict or dataclass in simulator/pool_api.py.
5. PM review and approval before Phase 3 coding begins.</t>
        </is>
      </c>
      <c r="L4" s="84" t="inlineStr">
        <is>
          <t>SIM-076 (recency_weight column must exist)</t>
        </is>
      </c>
      <c r="M4" s="84" t="inlineStr">
        <is>
          <t>Phase 4 cannot be correctly implemented without this contract being locked.</t>
        </is>
      </c>
    </row>
    <row r="5" ht="191.25" customHeight="1" s="47">
      <c r="A5" s="84" t="inlineStr">
        <is>
          <t>SIM-107</t>
        </is>
      </c>
      <c r="B5" s="84" t="inlineStr">
        <is>
          <t>Create tests/unit/test_live_ingestion_pipeline.py — 7 BE bugs, 0% coverage</t>
        </is>
      </c>
      <c r="C5" s="84" t="inlineStr">
        <is>
          <t>Testing</t>
        </is>
      </c>
      <c r="D5" s="84" t="inlineStr">
        <is>
          <t>Bug</t>
        </is>
      </c>
      <c r="E5" s="85" t="inlineStr">
        <is>
          <t>P1</t>
        </is>
      </c>
      <c r="F5" s="84" t="inlineStr">
        <is>
          <t>M (3–5 days)</t>
        </is>
      </c>
      <c r="G5" s="84" t="inlineStr">
        <is>
          <t>Backend Developer + QA/DevOps</t>
        </is>
      </c>
      <c r="H5" s="87" t="inlineStr">
        <is>
          <t>Open</t>
        </is>
      </c>
      <c r="I5" s="84" t="inlineStr">
        <is>
          <t>No</t>
        </is>
      </c>
      <c r="J5" s="84" t="inlineStr">
        <is>
          <t>live_ingestion_pipeline.py has zero test coverage. The BE audit found 7 bugs in this file. All 7 would be caught by basic unit tests. The component handles live game state during MLB games — bugs manifest during production use with no test safety net. All prior BE bug fixes (SIM-099, SIM-100, SIM-101, SIM-102, SIM-103) need permanent regression coverage.</t>
        </is>
      </c>
      <c r="K5" s="84" t="inlineStr">
        <is>
          <t>1. GameStateBuilder.build() with fixture feed dict: assert all required JSONB keys present; assert current_pitcher_id from matchup dict (not offense dict).
2. _infer_role(): parametrize SP (5.1IP), Opener (0.2IP, 10BF), MRP (1.1IP), RP.
3. _should_resimulate(): isComplete=True → True; duplicate at_bat guard → False; non-Live status → False.
4. ConnectionManager.broadcast(): dead connection cleanup; no RuntimeError when disconnect fires during send.
5. _get_days_rest() batch: 12 bullpen pitchers → exactly 1 DB query.
6. Redis key regression: key written by _cache_to_redis() == key read by fallback.
7. Hypothesis property test: random valid feed dict → always produces all required keys.
8. Use AsyncMock for all asyncpg calls; pytest.mark.asyncio. Minimum 40 tests.</t>
        </is>
      </c>
      <c r="L5" s="84" t="inlineStr">
        <is>
          <t>SIM-099, SIM-100, SIM-101, SIM-102, SIM-103 (bugs fixed first), SIM-152 (conftest)</t>
        </is>
      </c>
      <c r="M5" s="84" t="inlineStr">
        <is>
          <t>Most complex component in Phase 2 scope with zero coverage — highest testing priority.</t>
        </is>
      </c>
    </row>
    <row r="6" ht="124.5" customHeight="1" s="47">
      <c r="A6" s="84" t="inlineStr">
        <is>
          <t>SIM-115</t>
        </is>
      </c>
      <c r="B6" s="84" t="inlineStr">
        <is>
          <t>Prune DuckDB sim pool indexes — keep 3 query-path indexes, drop 8 write-overhead indexes</t>
        </is>
      </c>
      <c r="C6" s="84" t="inlineStr">
        <is>
          <t>Schema / ETL</t>
        </is>
      </c>
      <c r="D6" s="84" t="inlineStr">
        <is>
          <t>Improvement</t>
        </is>
      </c>
      <c r="E6" s="85" t="inlineStr">
        <is>
          <t>P1</t>
        </is>
      </c>
      <c r="F6" s="84" t="inlineStr">
        <is>
          <t>S (&lt; 1 day)</t>
        </is>
      </c>
      <c r="G6" s="84" t="inlineStr">
        <is>
          <t>Data Engineer + Performance Engineer</t>
        </is>
      </c>
      <c r="H6" s="87" t="inlineStr">
        <is>
          <t>Closed</t>
        </is>
      </c>
      <c r="I6" s="84" t="inlineStr">
        <is>
          <t>No</t>
        </is>
      </c>
      <c r="J6" s="84" t="inlineStr">
        <is>
          <t>sim.pitch_pool has 11 secondary indexes. DuckDB is a columnar engine with built-in zone maps and Bloom filters — it benefits far less from secondary indexes than PostgreSQL. Most of these indexes will never be used by the play pool query API which pre-filters by pitcher before any pool is materialized as a DataFrame. The 11 indexes add nightly rebuild overhead on a 1M+ row table.</t>
        </is>
      </c>
      <c r="K6" s="84" t="inlineStr">
        <is>
          <t>1. Keep on sim.pitch_pool: idx_pp_pitcher_season (primary access pattern), idx_pp_outcome (filters in_play rows), idx_pp_count (situational pre-filter).
2. Drop: idx_pp_pitcher, idx_pp_batter, idx_pp_season, idx_pp_game_date, idx_pp_batter_season, idx_pp_runners, idx_pp_velo, idx_pp_ivb — all superseded by pitcher pre-filter reducing scan to ~3,000 rows.
3. Apply same analysis to sim.outcome_pool.
4. PE must confirm Phase 3 play pool query access patterns (SIM-111) before finalizing which indexes to keep.
5. Deliver as DuckDB migration file.</t>
        </is>
      </c>
      <c r="L6" s="84" t="inlineStr">
        <is>
          <t>SIM-111 (play pool query contracts must be confirmed first)</t>
        </is>
      </c>
      <c r="M6" s="84" t="inlineStr">
        <is>
          <t>Do not drop indexes until SIM-111 access patterns are confirmed — dropping the wrong index causes a regression.</t>
        </is>
      </c>
    </row>
    <row r="7" ht="135.75" customHeight="1" s="47">
      <c r="A7" s="84" t="inlineStr">
        <is>
          <t>SIM-119</t>
        </is>
      </c>
      <c r="B7" s="84" t="inlineStr">
        <is>
          <t>Define per-step time budget for the 8-step simulation loop</t>
        </is>
      </c>
      <c r="C7" s="84" t="inlineStr">
        <is>
          <t>Performance</t>
        </is>
      </c>
      <c r="D7" s="84" t="inlineStr">
        <is>
          <t>Gap</t>
        </is>
      </c>
      <c r="E7" s="85" t="inlineStr">
        <is>
          <t>P1</t>
        </is>
      </c>
      <c r="F7" s="84" t="inlineStr">
        <is>
          <t>S (&lt; 1 day)</t>
        </is>
      </c>
      <c r="G7" s="84" t="inlineStr">
        <is>
          <t>Performance Engineer + Backend Developer</t>
        </is>
      </c>
      <c r="H7" s="87" t="inlineStr">
        <is>
          <t>Closed</t>
        </is>
      </c>
      <c r="I7" s="84" t="inlineStr">
        <is>
          <t>No</t>
        </is>
      </c>
      <c r="J7" s="84" t="inlineStr">
        <is>
          <t>The 2s single-game SLA has no per-step budget. Without step budgets, Phase 4 has no way to know if each step is on track during implementation. Each step must have a pytest-benchmark assertion as part of its acceptance criteria.</t>
        </is>
      </c>
      <c r="K7" s="84" t="inlineStr">
        <is>
          <t>1. Lock step budgets (per pitch invocation): Step 1 steal ≤0.05ms · Step 2 pitch selection ≤0.15ms · Step 3a/3b outcome ≤0.15ms · Step 4 fielding ≤0.10ms · Step 5 baserunner ≤0.05ms · Step 6 state update ≤0.05ms · Step 7 manager (end of PA only) ≤0.20ms · Step 8 loop control ≤0.03ms.
2. Total per pitch: ≤0.78ms × 300 pitches = ≤234ms per game iteration → 100 iterations in ≤23.4s (within 30s SLA).
3. Each step implementation in simulator/steps/ must include a pytest-benchmark assertion against its budget.
4. Add benchmarks to the SIM-118 harness as Benchmark Group 3 (simulation step budgets).</t>
        </is>
      </c>
      <c r="L7" s="84" t="inlineStr">
        <is>
          <t>SIM-118 (benchmark harness infrastructure)</t>
        </is>
      </c>
      <c r="M7" s="84" t="inlineStr">
        <is>
          <t>Step budgets convert the 30s SLA from a post-hoc check into a per-step implementation requirement.</t>
        </is>
      </c>
    </row>
    <row r="8" ht="147" customHeight="1" s="47">
      <c r="A8" s="84" t="inlineStr">
        <is>
          <t>SIM-120</t>
        </is>
      </c>
      <c r="B8" s="84" t="inlineStr">
        <is>
          <t>Benchmark ProcessPoolExecutor vs ThreadPoolExecutor for simulation runner before Phase 5 commits</t>
        </is>
      </c>
      <c r="C8" s="84" t="inlineStr">
        <is>
          <t>Performance</t>
        </is>
      </c>
      <c r="D8" s="84" t="inlineStr">
        <is>
          <t>Gap</t>
        </is>
      </c>
      <c r="E8" s="85" t="inlineStr">
        <is>
          <t>P1</t>
        </is>
      </c>
      <c r="F8" s="84" t="inlineStr">
        <is>
          <t>S (1–2 days)</t>
        </is>
      </c>
      <c r="G8" s="84" t="inlineStr">
        <is>
          <t>Performance Engineer + Backend Developer</t>
        </is>
      </c>
      <c r="H8" s="87" t="inlineStr">
        <is>
          <t>Open</t>
        </is>
      </c>
      <c r="I8" s="84" t="inlineStr">
        <is>
          <t>No</t>
        </is>
      </c>
      <c r="J8" s="84" t="inlineStr">
        <is>
          <t>The ProcessPoolExecutor choice is based on the assumption that Python's GIL bottlenecks thread-parallel simulation. FAISS and NumPy both release the GIL during computation. ThreadPoolExecutor may achieve comparable throughput with zero IPC overhead, zero spawn cost, and shared memory automatically. This must be benchmarked on one complete game simulation before Phase 5 commits to an architecture.</t>
        </is>
      </c>
      <c r="K8" s="84" t="inlineStr">
        <is>
          <t>1. Requires Phase 4 simulate_game() to exist before benchmarking.
2. Benchmark ProcessPoolExecutor (n=100): shared memory for play pool and FAISS index, measure throughput and total RAM.
3. Benchmark ThreadPoolExecutor (n=100): threads share heap automatically, no shared memory setup, measure throughput and CPU utilization across cores.
4. Decision rule: if ThreadPoolExecutor achieves &gt;= 80% of ProcessPoolExecutor throughput, prefer threads for operational simplicity.
5. Document benchmark results and architectural decision in simulator/runner.py.</t>
        </is>
      </c>
      <c r="L8" s="84" t="inlineStr">
        <is>
          <t>Phase 4 simulate_game() must be implemented first</t>
        </is>
      </c>
      <c r="M8" s="84" t="inlineStr">
        <is>
          <t>If threads work, eliminates the entire shared memory complexity of the process pool approach.</t>
        </is>
      </c>
    </row>
    <row r="9" ht="135.75" customHeight="1" s="47">
      <c r="A9" s="84" t="inlineStr">
        <is>
          <t>SIM-113</t>
        </is>
      </c>
      <c r="B9" s="84" t="inlineStr">
        <is>
          <t>Fix GMM batch pipeline performance: dynamic n_workers, eliminate per-pitcher IPC, batch DuckDB writes</t>
        </is>
      </c>
      <c r="C9" s="84" t="inlineStr">
        <is>
          <t>Performance</t>
        </is>
      </c>
      <c r="D9" s="84" t="inlineStr">
        <is>
          <t>Improvement</t>
        </is>
      </c>
      <c r="E9" s="85" t="inlineStr">
        <is>
          <t>P1</t>
        </is>
      </c>
      <c r="F9" s="84" t="inlineStr">
        <is>
          <t>M (3–5 days)</t>
        </is>
      </c>
      <c r="G9" s="84" t="inlineStr">
        <is>
          <t>Performance Engineer + Data Engineer</t>
        </is>
      </c>
      <c r="H9" s="87" t="inlineStr">
        <is>
          <t>Closed</t>
        </is>
      </c>
      <c r="I9" s="84" t="inlineStr">
        <is>
          <t>No</t>
        </is>
      </c>
      <c r="J9" s="84" t="inlineStr">
        <is>
          <t>Three performance bugs in player_profile_computor.py GMM fitting:
(1) n_workers hardcoded to 8 — over-subscribes 4-core machines.
(2) Per-pitcher IPC overhead: one DataFrame per pitcher sent to workers via pickle (~34s of overhead on a 4-season rebuild).
(3) Per-GMM DuckDB UPDATEs: ~2,800 sequential writes after fitting.
(4) O(N×P) pandas split: season_df filtered per pitcher in a loop.</t>
        </is>
      </c>
      <c r="K9" s="84" t="inlineStr">
        <is>
          <t>1. Restore dynamic worker count: n_workers = max(1, (os.cpu_count() or 2) - 1).
2. Eliminate per-pitcher IPC: pass full season NumPy array + pitcher_id_list to workers; worker splits internally; one round-trip per chunk.
3. Replace per-pitcher UPDATEs with bulk INSERT OR REPLACE using parameterized DuckDB execute (not f-string SQL).
4. Replace per-pitcher pandas filter loop with single season_df.groupby('pitcher_id') call.
5. Benchmark: 4-season full rebuild completes GMM fitting + writing in &lt;= 30 minutes.</t>
        </is>
      </c>
      <c r="L9" s="84" t="inlineStr">
        <is>
          <t>None</t>
        </is>
      </c>
      <c r="M9" s="84" t="inlineStr">
        <is>
          <t>Makes the nightly batch job tractable before it's run against real multi-season data.</t>
        </is>
      </c>
    </row>
    <row r="10" ht="157.5" customHeight="1" s="47">
      <c r="A10" s="84" t="inlineStr">
        <is>
          <t>SIM-114</t>
        </is>
      </c>
      <c r="B10" s="84" t="inlineStr">
        <is>
          <t>FAISS index design spec: IVFFlat, nprobe, pre-filter requirement, and shared memory strategy</t>
        </is>
      </c>
      <c r="C10" s="84" t="inlineStr">
        <is>
          <t>Performance</t>
        </is>
      </c>
      <c r="D10" s="84" t="inlineStr">
        <is>
          <t>Gap</t>
        </is>
      </c>
      <c r="E10" s="85" t="inlineStr">
        <is>
          <t>P1</t>
        </is>
      </c>
      <c r="F10" s="84" t="inlineStr">
        <is>
          <t>M (3–5 days)</t>
        </is>
      </c>
      <c r="G10" s="84" t="inlineStr">
        <is>
          <t>Performance Engineer + ML Engineer</t>
        </is>
      </c>
      <c r="H10" s="87" t="inlineStr">
        <is>
          <t>Closed</t>
        </is>
      </c>
      <c r="I10" s="84" t="inlineStr">
        <is>
          <t>No</t>
        </is>
      </c>
      <c r="J10" s="84" t="inlineStr">
        <is>
          <t>The current spec says 'FAISS flat index' which at 1M rows would produce ~300 seconds per 100-game batch — 10× over SLA. This ticket produces a written design spec (not implementation) that must be locked before Phase 3 builds the indexes.</t>
        </is>
      </c>
      <c r="K10" s="84" t="inlineStr">
        <is>
          <t>1. Index type decision: IVFFlat with nlist=512, nprobe=64 for pitch-to-pitch and batted ball engines. Performance Engineer must benchmark IVFFlat accuracy vs flat on sample pitch vectors before spec is locked.
2. Mandatory pre-filter: pitch pool must be filtered to pitcher_id + batter_handedness before any FAISS query. Document as a hard requirement.
3. Shared memory strategy: FAISS index loaded into multiprocessing.shared_memory at API startup; worker processes attach by name — zero-copy.
4. Memory budget: total RAM for play pool + FAISS indexes &lt;= 2GB regardless of worker count.
5. Spec document approved by PM before Phase 3 coding begins.</t>
        </is>
      </c>
      <c r="L10" s="84" t="inlineStr">
        <is>
          <t>None</t>
        </is>
      </c>
      <c r="M10" s="84" t="inlineStr">
        <is>
          <t>FATAL SLA risk if deferred — wrong choice here makes the 30s target unachievable.</t>
        </is>
      </c>
    </row>
    <row r="11" ht="168.75" customHeight="1" s="47">
      <c r="A11" s="84" t="inlineStr">
        <is>
          <t>SIM-127</t>
        </is>
      </c>
      <c r="B11" s="84" t="inlineStr">
        <is>
          <t>Define simulation staleness system: last-updated timestamp, amber indicator, loading states, empty states</t>
        </is>
      </c>
      <c r="C11" s="84" t="inlineStr">
        <is>
          <t>Frontend</t>
        </is>
      </c>
      <c r="D11" s="84" t="inlineStr">
        <is>
          <t>Gap</t>
        </is>
      </c>
      <c r="E11" s="85" t="inlineStr">
        <is>
          <t>P1</t>
        </is>
      </c>
      <c r="F11" s="84" t="inlineStr">
        <is>
          <t>M (3–5 days)</t>
        </is>
      </c>
      <c r="G11" s="84" t="inlineStr">
        <is>
          <t>UX Designer + Backend Developer</t>
        </is>
      </c>
      <c r="H11" s="87" t="inlineStr">
        <is>
          <t>Open</t>
        </is>
      </c>
      <c r="I11" s="84" t="inlineStr">
        <is>
          <t>No</t>
        </is>
      </c>
      <c r="J11" s="84" t="inlineStr">
        <is>
          <t>Simulation results on in-progress cards can be up to 60 seconds stale. During a high-leverage inning, stale win% can be off by 40+ percentage points. No staleness indicator, loading state, or per-component empty state is specified. For a betting platform, users must always know whether displayed results are current.</t>
        </is>
      </c>
      <c r="K11" s="84" t="inlineStr">
        <is>
          <t>1. Staleness indicator: every SimulationSummaryCard and WinProbabilityBar displays 'Win probability as of [time]' from simulated_at field. If age &gt; 45s, show amber pulse animation + '(updating...)' text.
2. Loading state: when resim_pending WS message arrives, all simulation components switch to skeleton screen. Resolves when simulation_results WS message arrives.
3. SimulationConfidence component: 'Home 68% ±9% (n=100)' computed from confidence_interval_home/away fields.
4. Empty state matrix: SimulationSummaryCard (sim not run yet) → 'Sim results available ~30 min before first pitch'; ProjectedBoxscore (no lineup) → 'Lineup not yet announced'; LinescoreGraphic (not started) → 9 dash cells; BaseballFieldGraphic (no data) → grey silhouettes + 'TBD'.</t>
        </is>
      </c>
      <c r="L11" s="84" t="inlineStr">
        <is>
          <t>SIM-112 (simulated_at and confidence_interval fields), SIM-125/126 (layout wireframes)</t>
        </is>
      </c>
      <c r="M11" s="84" t="inlineStr">
        <is>
          <t>Betting-critical: users making financial decisions must know the age and reliability of displayed data.</t>
        </is>
      </c>
    </row>
    <row r="12" ht="168.75" customHeight="1" s="47">
      <c r="A12" s="84" t="inlineStr">
        <is>
          <t>SIM-129</t>
        </is>
      </c>
      <c r="B12" s="84" t="inlineStr">
        <is>
          <t>Add distribution views to ScoreDistributionChart and ProjectedBoxscore — averages lose prop signal</t>
        </is>
      </c>
      <c r="C12" s="84" t="inlineStr">
        <is>
          <t>Frontend</t>
        </is>
      </c>
      <c r="D12" s="84" t="inlineStr">
        <is>
          <t>Improvement</t>
        </is>
      </c>
      <c r="E12" s="85" t="inlineStr">
        <is>
          <t>P1</t>
        </is>
      </c>
      <c r="F12" s="84" t="inlineStr">
        <is>
          <t>M (3–5 days)</t>
        </is>
      </c>
      <c r="G12" s="84" t="inlineStr">
        <is>
          <t>UX Designer + Betting Analyst</t>
        </is>
      </c>
      <c r="H12" s="87" t="inlineStr">
        <is>
          <t>Open</t>
        </is>
      </c>
      <c r="I12" s="84" t="inlineStr">
        <is>
          <t>No</t>
        </is>
      </c>
      <c r="J12" s="84" t="inlineStr">
        <is>
          <t>ScoreDistributionChart shows independent run totals for each team — the joint outcome distribution (who beats whom by how much) is hidden. ProjectedBoxscore shows averages only — for prop betting the distribution is what matters. A pitcher projected at avg 6.2 Ks with range 3-9 has different prop implications than 6.2 Ks with range 5-7.</t>
        </is>
      </c>
      <c r="K12" s="84" t="inlineStr">
        <is>
          <t>1. ScoreDistributionChart — three modes toggled via tab control: (a) Home runs histogram; (b) Away runs histogram; (c) Run Differential histogram (-15 to +15, negative=away wins). Betting Analyst confirms if total runs (for o/u) replaces one.
2. ProjectedBoxscore — distribution display for prop market stats: '6.2 (5–8)' format (avg, p25-p75) for pitcher Ks, batter hits, batter HR. Computed from per-iteration raw lists (SIM-112 extension). Average-only for non-prop stats (AB, RBI, IP, ER).
3. Prop line comparison (Betting Analyst approval required): active prop line shown as vertical marker on distribution; % of simulations above = implied over probability.
4. RBI column: average only, no distribution, tooltip: 'RBI props require lineup context — use with caution.'</t>
        </is>
      </c>
      <c r="L12" s="84" t="inlineStr">
        <is>
          <t>SIM-112 (raw per-iteration lists), SIM-124 (Betting Analyst input on distribution display)</t>
        </is>
      </c>
      <c r="M12" s="84" t="inlineStr">
        <is>
          <t>The core CLV display feature — this is how the platform's prop predictions are validated against markets.</t>
        </is>
      </c>
    </row>
    <row r="13" ht="23.25" customHeight="1" s="47">
      <c r="A13" s="84" t="inlineStr">
        <is>
          <t>SIM-082</t>
        </is>
      </c>
      <c r="B13" s="84" t="inlineStr">
        <is>
          <t>Fix ON CONFLICT Crash in _upsert_lineup_state()</t>
        </is>
      </c>
      <c r="C13" s="84" t="inlineStr">
        <is>
          <t>Live Pipeline</t>
        </is>
      </c>
      <c r="D13" s="84" t="inlineStr">
        <is>
          <t>Bug</t>
        </is>
      </c>
      <c r="E13" s="85" t="inlineStr">
        <is>
          <t>P1</t>
        </is>
      </c>
      <c r="F13" s="84" t="inlineStr">
        <is>
          <t>S</t>
        </is>
      </c>
      <c r="G13" s="84" t="inlineStr">
        <is>
          <t>Data Engineer</t>
        </is>
      </c>
      <c r="H13" s="89" t="inlineStr">
        <is>
          <t>Closed</t>
        </is>
      </c>
      <c r="I13" s="84" t="inlineStr">
        <is>
          <t>No</t>
        </is>
      </c>
      <c r="J13" s="84" t="inlineStr">
        <is>
          <t>Missing unique partial index made every live lineup upsert raise.</t>
        </is>
      </c>
      <c r="K13" s="84" t="inlineStr">
        <is>
          <t>Alembic migration 0002 adds idx_lineup_state_live_game.</t>
        </is>
      </c>
      <c r="L13" s="84" t="inlineStr">
        <is>
          <t>SIM-084</t>
        </is>
      </c>
      <c r="M13" s="84" t="inlineStr">
        <is>
          <t>Shipped sprint 2026-05-05.</t>
        </is>
      </c>
    </row>
    <row r="14" ht="23.25" customHeight="1" s="47">
      <c r="A14" s="84" t="inlineStr">
        <is>
          <t>SIM-086</t>
        </is>
      </c>
      <c r="B14" s="84" t="inlineStr">
        <is>
          <t>Fix live pipeline venue_id=0 FK violation</t>
        </is>
      </c>
      <c r="C14" s="84" t="inlineStr">
        <is>
          <t>Live Pipeline</t>
        </is>
      </c>
      <c r="D14" s="84" t="inlineStr">
        <is>
          <t>Bug</t>
        </is>
      </c>
      <c r="E14" s="85" t="inlineStr">
        <is>
          <t>P1</t>
        </is>
      </c>
      <c r="F14" s="84" t="inlineStr">
        <is>
          <t>S</t>
        </is>
      </c>
      <c r="G14" s="84" t="inlineStr">
        <is>
          <t>Data Engineer</t>
        </is>
      </c>
      <c r="H14" s="89" t="inlineStr">
        <is>
          <t>Closed</t>
        </is>
      </c>
      <c r="I14" s="84" t="inlineStr">
        <is>
          <t>No</t>
        </is>
      </c>
      <c r="J14" s="84" t="inlineStr">
        <is>
          <t>_upsert_game_record inserted 0 sentinel; FK violation silently dropped game.</t>
        </is>
      </c>
      <c r="K14" s="84" t="inlineStr">
        <is>
          <t>Migration 0006 makes venue_id nullable; venue_backfill_job.py.</t>
        </is>
      </c>
      <c r="L14" s="84" t="inlineStr">
        <is>
          <t>SIM-084</t>
        </is>
      </c>
      <c r="M14" s="84" t="inlineStr">
        <is>
          <t>Shipped sprint 2026-05-06. PM-accepted 2026-05-07.</t>
        </is>
      </c>
    </row>
    <row r="15" ht="23.25" customHeight="1" s="47">
      <c r="A15" s="84" t="inlineStr">
        <is>
          <t>SIM-099</t>
        </is>
      </c>
      <c r="B15" s="84" t="inlineStr">
        <is>
          <t>Fix Redis Key Mismatch (rate-limit fallback)</t>
        </is>
      </c>
      <c r="C15" s="84" t="inlineStr">
        <is>
          <t>Live Pipeline</t>
        </is>
      </c>
      <c r="D15" s="84" t="inlineStr">
        <is>
          <t>Bug</t>
        </is>
      </c>
      <c r="E15" s="85" t="inlineStr">
        <is>
          <t>P1</t>
        </is>
      </c>
      <c r="F15" s="84" t="inlineStr">
        <is>
          <t>S</t>
        </is>
      </c>
      <c r="G15" s="84" t="inlineStr">
        <is>
          <t>Backend Developer</t>
        </is>
      </c>
      <c r="H15" s="89" t="inlineStr">
        <is>
          <t>Closed</t>
        </is>
      </c>
      <c r="I15" s="84" t="inlineStr">
        <is>
          <t>No</t>
        </is>
      </c>
      <c r="J15" s="84" t="inlineStr">
        <is>
          <t>_cache_to_redis wrote game_state:{pk} but _fetch_feed read game_feed:{pk}.</t>
        </is>
      </c>
      <c r="K15" s="84" t="inlineStr">
        <is>
          <t>Both keys now written; second pitcher_id assignment removed.</t>
        </is>
      </c>
      <c r="L15" s="84" t="inlineStr">
        <is>
          <t>None</t>
        </is>
      </c>
      <c r="M15" s="84" t="inlineStr">
        <is>
          <t>Shipped sprint 2026-05-05.</t>
        </is>
      </c>
    </row>
    <row r="16" ht="23.25" customHeight="1" s="47">
      <c r="A16" s="84" t="inlineStr">
        <is>
          <t>SIM-100</t>
        </is>
      </c>
      <c r="B16" s="84" t="inlineStr">
        <is>
          <t>Fix GameStateBuilder roster parsing (4 bugs)</t>
        </is>
      </c>
      <c r="C16" s="84" t="inlineStr">
        <is>
          <t>Live Pipeline</t>
        </is>
      </c>
      <c r="D16" s="84" t="inlineStr">
        <is>
          <t>Bug</t>
        </is>
      </c>
      <c r="E16" s="85" t="inlineStr">
        <is>
          <t>P1</t>
        </is>
      </c>
      <c r="F16" s="84" t="inlineStr">
        <is>
          <t>S</t>
        </is>
      </c>
      <c r="G16" s="84" t="inlineStr">
        <is>
          <t>Backend Developer</t>
        </is>
      </c>
      <c r="H16" s="89" t="inlineStr">
        <is>
          <t>Closed</t>
        </is>
      </c>
      <c r="I16" s="84" t="inlineStr">
        <is>
          <t>No</t>
        </is>
      </c>
      <c r="J16" s="84" t="inlineStr">
        <is>
          <t>N+1 days_rest queries; wrong availability; dead code; wrong date anchor.</t>
        </is>
      </c>
      <c r="K16" s="84" t="inlineStr">
        <is>
          <t>_batch_days_rest single query; corrected availability; game_date param.</t>
        </is>
      </c>
      <c r="L16" s="84" t="inlineStr">
        <is>
          <t>None</t>
        </is>
      </c>
      <c r="M16" s="84" t="inlineStr">
        <is>
          <t>Shipped sprint 2026-05-05.</t>
        </is>
      </c>
    </row>
    <row r="17" ht="23.25" customHeight="1" s="47">
      <c r="A17" s="84" t="inlineStr">
        <is>
          <t>SIM-101</t>
        </is>
      </c>
      <c r="B17" s="84" t="inlineStr">
        <is>
          <t>Per-game GameStateBuilder cache + incremental play history</t>
        </is>
      </c>
      <c r="C17" s="84" t="inlineStr">
        <is>
          <t>Live Pipeline</t>
        </is>
      </c>
      <c r="D17" s="84" t="inlineStr">
        <is>
          <t>Bug</t>
        </is>
      </c>
      <c r="E17" s="85" t="inlineStr">
        <is>
          <t>P1</t>
        </is>
      </c>
      <c r="F17" s="84" t="inlineStr">
        <is>
          <t>M</t>
        </is>
      </c>
      <c r="G17" s="84" t="inlineStr">
        <is>
          <t>Backend Developer</t>
        </is>
      </c>
      <c r="H17" s="89" t="inlineStr">
        <is>
          <t>Closed</t>
        </is>
      </c>
      <c r="I17" s="84" t="inlineStr">
        <is>
          <t>No</t>
        </is>
      </c>
      <c r="J17" s="84" t="inlineStr">
        <is>
          <t>_parse_play_history rebuilt full history every WS message (O(N)).</t>
        </is>
      </c>
      <c r="K17" s="84" t="inlineStr">
        <is>
          <t>Per-game builder cache; incremental parse from last_at_bat_index.</t>
        </is>
      </c>
      <c r="L17" s="84" t="inlineStr">
        <is>
          <t>SIM-099, SIM-100</t>
        </is>
      </c>
      <c r="M17" s="84" t="inlineStr">
        <is>
          <t>Shipped sprint 2026-05-07. PM-accepted 2026-05-07.</t>
        </is>
      </c>
    </row>
    <row r="18" ht="23.25" customHeight="1" s="47">
      <c r="A18" s="84" t="inlineStr">
        <is>
          <t>SIM-102</t>
        </is>
      </c>
      <c r="B18" s="84" t="inlineStr">
        <is>
          <t>Fix _infer_role() opener misclassification</t>
        </is>
      </c>
      <c r="C18" s="84" t="inlineStr">
        <is>
          <t>Live Pipeline</t>
        </is>
      </c>
      <c r="D18" s="84" t="inlineStr">
        <is>
          <t>Bug</t>
        </is>
      </c>
      <c r="E18" s="85" t="inlineStr">
        <is>
          <t>P1</t>
        </is>
      </c>
      <c r="F18" s="84" t="inlineStr">
        <is>
          <t>S</t>
        </is>
      </c>
      <c r="G18" s="84" t="inlineStr">
        <is>
          <t>Backend Developer</t>
        </is>
      </c>
      <c r="H18" s="89" t="inlineStr">
        <is>
          <t>Closed</t>
        </is>
      </c>
      <c r="I18" s="84" t="inlineStr">
        <is>
          <t>No</t>
        </is>
      </c>
      <c r="J18" s="84" t="inlineStr">
        <is>
          <t>IP-only thresholds classified openers as MRP.</t>
        </is>
      </c>
      <c r="K18" s="84" t="inlineStr">
        <is>
          <t>Added Opener bucket using battersFaced; SP -&gt; Opener -&gt; MRP -&gt; RP.</t>
        </is>
      </c>
      <c r="L18" s="84" t="inlineStr">
        <is>
          <t>None</t>
        </is>
      </c>
      <c r="M18" s="84" t="inlineStr">
        <is>
          <t>Shipped sprint 2026-05-07. PM-accepted 2026-05-07. Temporary until SIM-057.</t>
        </is>
      </c>
    </row>
    <row r="19" ht="23.25" customHeight="1" s="47">
      <c r="A19" s="84" t="inlineStr">
        <is>
          <t>SIM-103</t>
        </is>
      </c>
      <c r="B19" s="84" t="inlineStr">
        <is>
          <t>ConnectionManager.broadcast() set snapshot</t>
        </is>
      </c>
      <c r="C19" s="84" t="inlineStr">
        <is>
          <t>Live Pipeline</t>
        </is>
      </c>
      <c r="D19" s="84" t="inlineStr">
        <is>
          <t>Bug</t>
        </is>
      </c>
      <c r="E19" s="85" t="inlineStr">
        <is>
          <t>P1</t>
        </is>
      </c>
      <c r="F19" s="84" t="inlineStr">
        <is>
          <t>S</t>
        </is>
      </c>
      <c r="G19" s="84" t="inlineStr">
        <is>
          <t>Backend Developer</t>
        </is>
      </c>
      <c r="H19" s="89" t="inlineStr">
        <is>
          <t>Closed</t>
        </is>
      </c>
      <c r="I19" s="84" t="inlineStr">
        <is>
          <t>No</t>
        </is>
      </c>
      <c r="J19" s="84" t="inlineStr">
        <is>
          <t>Iteration over live set raised RuntimeError on concurrent connect/disconnect.</t>
        </is>
      </c>
      <c r="K19" s="84" t="inlineStr">
        <is>
          <t>Snapshot via set(live_subs) before iterating.</t>
        </is>
      </c>
      <c r="L19" s="84" t="inlineStr">
        <is>
          <t>None</t>
        </is>
      </c>
      <c r="M19" s="84" t="inlineStr">
        <is>
          <t>Shipped sprint 2026-05-07. PM-accepted 2026-05-07.</t>
        </is>
      </c>
    </row>
    <row r="20" ht="23.25" customHeight="1" s="47">
      <c r="A20" s="84" t="inlineStr">
        <is>
          <t>SIM-104</t>
        </is>
      </c>
      <c r="B20" s="84" t="inlineStr">
        <is>
          <t>Add Redis-based rate limiting to /resimulate</t>
        </is>
      </c>
      <c r="C20" s="84" t="inlineStr">
        <is>
          <t>Live Pipeline</t>
        </is>
      </c>
      <c r="D20" s="84" t="inlineStr">
        <is>
          <t>Improvement</t>
        </is>
      </c>
      <c r="E20" s="85" t="inlineStr">
        <is>
          <t>P1</t>
        </is>
      </c>
      <c r="F20" s="84" t="inlineStr">
        <is>
          <t>S</t>
        </is>
      </c>
      <c r="G20" s="84" t="inlineStr">
        <is>
          <t>Backend Developer</t>
        </is>
      </c>
      <c r="H20" s="89" t="inlineStr">
        <is>
          <t>Closed</t>
        </is>
      </c>
      <c r="I20" s="84" t="inlineStr">
        <is>
          <t>No</t>
        </is>
      </c>
      <c r="J20" s="84" t="inlineStr">
        <is>
          <t>No debouncing on manual resimulate endpoint.</t>
        </is>
      </c>
      <c r="K20" s="84" t="inlineStr">
        <is>
          <t>Per-game Redis cooldown; 429 with retry_after_seconds; SIM-109 envelope.</t>
        </is>
      </c>
      <c r="L20" s="84" t="inlineStr">
        <is>
          <t>Redis lifecycle</t>
        </is>
      </c>
      <c r="M20" s="84" t="inlineStr">
        <is>
          <t>Shipped sprint 2026-05-07. PM-accepted 2026-05-07.</t>
        </is>
      </c>
    </row>
    <row r="21" ht="23.25" customHeight="1" s="47">
      <c r="A21" s="84" t="inlineStr">
        <is>
          <t>SIM-105</t>
        </is>
      </c>
      <c r="B21" s="84" t="inlineStr">
        <is>
          <t>Skip redundant upserts for completed games</t>
        </is>
      </c>
      <c r="C21" s="84" t="inlineStr">
        <is>
          <t>Live Pipeline</t>
        </is>
      </c>
      <c r="D21" s="84" t="inlineStr">
        <is>
          <t>Improvement</t>
        </is>
      </c>
      <c r="E21" s="88" t="inlineStr">
        <is>
          <t>P2</t>
        </is>
      </c>
      <c r="F21" s="84" t="inlineStr">
        <is>
          <t>S</t>
        </is>
      </c>
      <c r="G21" s="84" t="inlineStr">
        <is>
          <t>Backend Developer</t>
        </is>
      </c>
      <c r="H21" s="89" t="inlineStr">
        <is>
          <t>Closed</t>
        </is>
      </c>
      <c r="I21" s="84" t="inlineStr">
        <is>
          <t>No</t>
        </is>
      </c>
      <c r="J21" s="84" t="inlineStr">
        <is>
          <t>_sync_live_games called _upsert for finished games on every poll.</t>
        </is>
      </c>
      <c r="K21" s="84" t="inlineStr">
        <is>
          <t>_completed_games skip set + boot-time hydration from raw.games.</t>
        </is>
      </c>
      <c r="L21" s="84" t="inlineStr">
        <is>
          <t>None</t>
        </is>
      </c>
      <c r="M21" s="84" t="inlineStr">
        <is>
          <t>Shipped sprint 2026-05-07. PM-accepted 2026-05-07.</t>
        </is>
      </c>
    </row>
    <row r="22" ht="23.25" customHeight="1" s="47">
      <c r="A22" s="84" t="inlineStr">
        <is>
          <t>SIM-106</t>
        </is>
      </c>
      <c r="B22" s="84" t="inlineStr">
        <is>
          <t>Enforce async callable type on simulation_callback</t>
        </is>
      </c>
      <c r="C22" s="84" t="inlineStr">
        <is>
          <t>Live Pipeline</t>
        </is>
      </c>
      <c r="D22" s="84" t="inlineStr">
        <is>
          <t>Improvement</t>
        </is>
      </c>
      <c r="E22" s="85" t="inlineStr">
        <is>
          <t>P1</t>
        </is>
      </c>
      <c r="F22" s="84" t="inlineStr">
        <is>
          <t>S</t>
        </is>
      </c>
      <c r="G22" s="84" t="inlineStr">
        <is>
          <t>Backend Developer</t>
        </is>
      </c>
      <c r="H22" s="89" t="inlineStr">
        <is>
          <t>Closed</t>
        </is>
      </c>
      <c r="I22" s="84" t="inlineStr">
        <is>
          <t>No</t>
        </is>
      </c>
      <c r="J22" s="84" t="inlineStr">
        <is>
          <t>Callable | None could be a sync fn; failure was hard to diagnose.</t>
        </is>
      </c>
      <c r="K22" s="84" t="inlineStr">
        <is>
          <t>SimulationCallback type alias + iscoroutinefunction guard at __init__.</t>
        </is>
      </c>
      <c r="L22" s="84" t="inlineStr">
        <is>
          <t>None</t>
        </is>
      </c>
      <c r="M22" s="84" t="inlineStr">
        <is>
          <t>Shipped sprint 2026-05-07. PM-accepted 2026-05-07.</t>
        </is>
      </c>
    </row>
    <row r="23" ht="23.25" customHeight="1" s="47">
      <c r="A23" s="84" t="inlineStr">
        <is>
          <t>SIM-132</t>
        </is>
      </c>
      <c r="B23" s="84" t="inlineStr">
        <is>
          <t>Fix MockOddsAPI Zero-Vig + resim doc</t>
        </is>
      </c>
      <c r="C23" s="84" t="inlineStr">
        <is>
          <t>Live Pipeline</t>
        </is>
      </c>
      <c r="D23" s="84" t="inlineStr">
        <is>
          <t>Bug</t>
        </is>
      </c>
      <c r="E23" s="85" t="inlineStr">
        <is>
          <t>P1</t>
        </is>
      </c>
      <c r="F23" s="84" t="inlineStr">
        <is>
          <t>S</t>
        </is>
      </c>
      <c r="G23" s="84" t="inlineStr">
        <is>
          <t>Backend Developer</t>
        </is>
      </c>
      <c r="H23" s="89" t="inlineStr">
        <is>
          <t>Closed</t>
        </is>
      </c>
      <c r="I23" s="84" t="inlineStr">
        <is>
          <t>No</t>
        </is>
      </c>
      <c r="J23" s="84" t="inlineStr">
        <is>
          <t>Implied probs summed to exactly 1.0 (no vig); architecture comment lied.</t>
        </is>
      </c>
      <c r="K23" s="84" t="inlineStr">
        <is>
          <t>vig in [0.06, 0.10]; comment fixed.</t>
        </is>
      </c>
      <c r="L23" s="84" t="inlineStr">
        <is>
          <t>None</t>
        </is>
      </c>
      <c r="M23" s="84" t="inlineStr">
        <is>
          <t>Shipped sprint 2026-05-05. SIM-096 follow-up tightens RNG floor.</t>
        </is>
      </c>
    </row>
    <row r="24" ht="15" customHeight="1" s="47">
      <c r="A24" s="84" t="inlineStr">
        <is>
          <t>SIM-138</t>
        </is>
      </c>
      <c r="B24" s="84" t="inlineStr">
        <is>
          <t>Nightly Opening Line Ingestion Job</t>
        </is>
      </c>
      <c r="C24" s="84" t="inlineStr">
        <is>
          <t>Live Pipeline</t>
        </is>
      </c>
      <c r="D24" s="84" t="inlineStr">
        <is>
          <t>Gap</t>
        </is>
      </c>
      <c r="E24" s="85" t="inlineStr">
        <is>
          <t>P1</t>
        </is>
      </c>
      <c r="F24" s="84" t="inlineStr">
        <is>
          <t>S</t>
        </is>
      </c>
      <c r="G24" s="84" t="inlineStr">
        <is>
          <t>Data Engineer</t>
        </is>
      </c>
      <c r="H24" s="89" t="inlineStr">
        <is>
          <t>Closed</t>
        </is>
      </c>
      <c r="I24" s="84" t="inlineStr">
        <is>
          <t>No</t>
        </is>
      </c>
      <c r="J24" s="84" t="inlineStr">
        <is>
          <t>Opening lines lost permanently each missing day.</t>
        </is>
      </c>
      <c r="K24" s="84" t="inlineStr">
        <is>
          <t>OpeningLineJob (cron + APScheduler); 7-day lookahead.</t>
        </is>
      </c>
      <c r="L24" s="84" t="inlineStr">
        <is>
          <t>SIM-133, SIM-134</t>
        </is>
      </c>
      <c r="M24" s="84" t="inlineStr">
        <is>
          <t>Shipped sprint 2026-05-05.</t>
        </is>
      </c>
    </row>
    <row r="25" ht="79.5" customHeight="1" s="47">
      <c r="A25" s="84" t="inlineStr">
        <is>
          <t>SIM-159</t>
        </is>
      </c>
      <c r="B25" s="84" t="inlineStr">
        <is>
          <t>Tighten SIM-132 vig RNG so moneyline boundary test is no longer flaky</t>
        </is>
      </c>
      <c r="C25" s="84" t="inlineStr">
        <is>
          <t>Live Pipeline</t>
        </is>
      </c>
      <c r="D25" s="84" t="inlineStr">
        <is>
          <t>Bug</t>
        </is>
      </c>
      <c r="E25" s="85" t="inlineStr">
        <is>
          <t>P1</t>
        </is>
      </c>
      <c r="F25" s="84" t="inlineStr">
        <is>
          <t>S (&lt;1 day)</t>
        </is>
      </c>
      <c r="G25" s="84" t="inlineStr">
        <is>
          <t>Backend Developer</t>
        </is>
      </c>
      <c r="H25" s="87" t="inlineStr">
        <is>
          <t>Open</t>
        </is>
      </c>
      <c r="I25" s="84" t="inlineStr">
        <is>
          <t>No</t>
        </is>
      </c>
      <c r="J25" s="84" t="inlineStr">
        <is>
          <t>MockOddsAPI samples vig from rng.uniform(0.06, 0.10). Overround = 1 + vig/2 ∈ [1.030, 1.050]. Regression test asserts strict &gt; 1.03; for game_pk=12345 the inflation path produces 1.0286.</t>
        </is>
      </c>
      <c r="K25" s="84" t="inlineStr">
        <is>
          <t>1. EITHER tighten RNG floor to rng.uniform(0.07, 0.10), OR weaken the assertion to &gt;= 1.03 - 1e-9 with an upper bound &lt; 1.05 + 1e-9. PM prefers the test-side change to keep the SIM-132 mock consistent with real sharp-book MLB data.
2. The [12345] parametrized case passes deterministically across 100 runs.
3. Calibration choice documented in test file.</t>
        </is>
      </c>
      <c r="L25" s="84" t="inlineStr">
        <is>
          <t>SIM-132 (already shipped)</t>
        </is>
      </c>
      <c r="M25" s="84" t="inlineStr">
        <is>
          <t>Created 2026-05-08 from PM acceptance review. Renumbered from SIM-096 to avoid collision with the existing async-models ticket.</t>
        </is>
      </c>
    </row>
  </sheetData>
  <autoFilter ref="A1:M2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M5"/>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71484375" defaultRowHeight="15" customHeight="0" zeroHeight="0" outlineLevelRow="0"/>
  <cols>
    <col width="11" customWidth="1" style="46" min="1" max="1"/>
    <col width="50" customWidth="1" style="46" min="2" max="2"/>
    <col width="18" customWidth="1" style="46" min="3" max="3"/>
    <col width="16" customWidth="1" style="46" min="4" max="4"/>
    <col width="10" customWidth="1" style="46" min="5" max="5"/>
    <col width="18" customWidth="1" style="46" min="6" max="6"/>
    <col width="32" customWidth="1" style="46" min="7" max="7"/>
    <col width="12" customWidth="1" style="46" min="8" max="8"/>
    <col width="9" customWidth="1" style="46" min="9" max="9"/>
    <col width="50" customWidth="1" style="46" min="10" max="11"/>
    <col width="30" customWidth="1" style="46" min="12" max="12"/>
    <col width="35" customWidth="1" style="46" min="13" max="13"/>
  </cols>
  <sheetData>
    <row r="1" ht="30" customHeight="1" s="47">
      <c r="A1" s="83" t="inlineStr">
        <is>
          <t>Ticket ID</t>
        </is>
      </c>
      <c r="B1" s="83" t="inlineStr">
        <is>
          <t>Title</t>
        </is>
      </c>
      <c r="C1" s="83" t="inlineStr">
        <is>
          <t>Category</t>
        </is>
      </c>
      <c r="D1" s="83" t="inlineStr">
        <is>
          <t>Type</t>
        </is>
      </c>
      <c r="E1" s="83" t="inlineStr">
        <is>
          <t>Priority</t>
        </is>
      </c>
      <c r="F1" s="83" t="inlineStr">
        <is>
          <t>Size</t>
        </is>
      </c>
      <c r="G1" s="83" t="inlineStr">
        <is>
          <t>Assignee Role</t>
        </is>
      </c>
      <c r="H1" s="83" t="inlineStr">
        <is>
          <t>Status</t>
        </is>
      </c>
      <c r="I1" s="83" t="inlineStr">
        <is>
          <t>Blocked</t>
        </is>
      </c>
      <c r="J1" s="83" t="inlineStr">
        <is>
          <t>Description/Problem Statement</t>
        </is>
      </c>
      <c r="K1" s="83" t="inlineStr">
        <is>
          <t>Acceptance Criteria</t>
        </is>
      </c>
      <c r="L1" s="83" t="inlineStr">
        <is>
          <t>Dependencies</t>
        </is>
      </c>
      <c r="M1" s="83" t="inlineStr">
        <is>
          <t>Notes/Rationale</t>
        </is>
      </c>
    </row>
    <row r="2" ht="124.5" customHeight="1" s="47">
      <c r="A2" s="84" t="inlineStr">
        <is>
          <t>SIM-115</t>
        </is>
      </c>
      <c r="B2" s="84" t="inlineStr">
        <is>
          <t>Prune DuckDB sim pool indexes — keep 3 query-path indexes, drop 8 write-overhead indexes</t>
        </is>
      </c>
      <c r="C2" s="84" t="inlineStr">
        <is>
          <t>Schema / ETL</t>
        </is>
      </c>
      <c r="D2" s="84" t="inlineStr">
        <is>
          <t>Improvement</t>
        </is>
      </c>
      <c r="E2" s="85" t="inlineStr">
        <is>
          <t>P1</t>
        </is>
      </c>
      <c r="F2" s="84" t="inlineStr">
        <is>
          <t>S (&lt; 1 day)</t>
        </is>
      </c>
      <c r="G2" s="84" t="inlineStr">
        <is>
          <t>Data Engineer + Performance Engineer</t>
        </is>
      </c>
      <c r="H2" s="87" t="inlineStr">
        <is>
          <t>Open</t>
        </is>
      </c>
      <c r="I2" s="84" t="inlineStr">
        <is>
          <t>No</t>
        </is>
      </c>
      <c r="J2" s="84" t="inlineStr">
        <is>
          <t>sim.pitch_pool has 11 secondary indexes. DuckDB is a columnar engine with built-in zone maps and Bloom filters — it benefits far less from secondary indexes than PostgreSQL. Most of these indexes will never be used by the play pool query API which pre-filters by pitcher before any pool is materialized as a DataFrame. The 11 indexes add nightly rebuild overhead on a 1M+ row table.</t>
        </is>
      </c>
      <c r="K2" s="84" t="inlineStr">
        <is>
          <t>1. Keep on sim.pitch_pool: idx_pp_pitcher_season (primary access pattern), idx_pp_outcome (filters in_play rows), idx_pp_count (situational pre-filter).
2. Drop: idx_pp_pitcher, idx_pp_batter, idx_pp_season, idx_pp_game_date, idx_pp_batter_season, idx_pp_runners, idx_pp_velo, idx_pp_ivb — all superseded by pitcher pre-filter reducing scan to ~3,000 rows.
3. Apply same analysis to sim.outcome_pool.
4. PE must confirm Phase 3 play pool query access patterns (SIM-111) before finalizing which indexes to keep.
5. Deliver as DuckDB migration file.</t>
        </is>
      </c>
      <c r="L2" s="84" t="inlineStr">
        <is>
          <t>SIM-111 (play pool query contracts must be confirmed first)</t>
        </is>
      </c>
      <c r="M2" s="84" t="inlineStr">
        <is>
          <t>Do not drop indexes until SIM-111 access patterns are confirmed — dropping the wrong index causes a regression.</t>
        </is>
      </c>
    </row>
    <row r="3" ht="157.5" customHeight="1" s="47">
      <c r="A3" s="84" t="inlineStr">
        <is>
          <t>SIM-114</t>
        </is>
      </c>
      <c r="B3" s="84" t="inlineStr">
        <is>
          <t>FAISS index design spec: IVFFlat, nprobe, pre-filter requirement, and shared memory strategy</t>
        </is>
      </c>
      <c r="C3" s="84" t="inlineStr">
        <is>
          <t>Performance</t>
        </is>
      </c>
      <c r="D3" s="84" t="inlineStr">
        <is>
          <t>Gap</t>
        </is>
      </c>
      <c r="E3" s="85" t="inlineStr">
        <is>
          <t>P1</t>
        </is>
      </c>
      <c r="F3" s="84" t="inlineStr">
        <is>
          <t>M (3–5 days)</t>
        </is>
      </c>
      <c r="G3" s="84" t="inlineStr">
        <is>
          <t>Performance Engineer + ML Engineer</t>
        </is>
      </c>
      <c r="H3" s="87" t="inlineStr">
        <is>
          <t>Open</t>
        </is>
      </c>
      <c r="I3" s="84" t="inlineStr">
        <is>
          <t>No</t>
        </is>
      </c>
      <c r="J3" s="84" t="inlineStr">
        <is>
          <t>The current spec says 'FAISS flat index' which at 1M rows would produce ~300 seconds per 100-game batch — 10× over SLA. This ticket produces a written design spec (not implementation) that must be locked before Phase 3 builds the indexes.</t>
        </is>
      </c>
      <c r="K3" s="84" t="inlineStr">
        <is>
          <t>1. Index type decision: IVFFlat with nlist=512, nprobe=64 for pitch-to-pitch and batted ball engines. Performance Engineer must benchmark IVFFlat accuracy vs flat on sample pitch vectors before spec is locked.
2. Mandatory pre-filter: pitch pool must be filtered to pitcher_id + batter_handedness before any FAISS query. Document as a hard requirement.
3. Shared memory strategy: FAISS index loaded into multiprocessing.shared_memory at API startup; worker processes attach by name — zero-copy.
4. Memory budget: total RAM for play pool + FAISS indexes &lt;= 2GB regardless of worker count.
5. Spec document approved by PM before Phase 3 coding begins.</t>
        </is>
      </c>
      <c r="L3" s="84" t="inlineStr">
        <is>
          <t>None</t>
        </is>
      </c>
      <c r="M3" s="84" t="inlineStr">
        <is>
          <t>FATAL SLA risk if deferred — wrong choice here makes the 30s target unachievable.</t>
        </is>
      </c>
    </row>
    <row r="4" ht="135.75" customHeight="1" s="47">
      <c r="A4" s="84" t="inlineStr">
        <is>
          <t>SIM-200</t>
        </is>
      </c>
      <c r="B4" s="84" t="inlineStr">
        <is>
          <t>Step 3b: Catcher Framing Bias on Shadow-Zone Takes</t>
        </is>
      </c>
      <c r="C4" s="84" t="inlineStr">
        <is>
          <t>Phase 4 placeholder</t>
        </is>
      </c>
      <c r="D4" s="84" t="inlineStr">
        <is>
          <t>Phase 4 design constraint</t>
        </is>
      </c>
      <c r="E4" s="85" t="inlineStr">
        <is>
          <t>P1</t>
        </is>
      </c>
      <c r="F4" s="84" t="inlineStr">
        <is>
          <t>S (when Phase 4 lands)</t>
        </is>
      </c>
      <c r="G4" s="84" t="inlineStr">
        <is>
          <t>Backend Developer + ML Engineer + Baseball Analyst</t>
        </is>
      </c>
      <c r="H4" s="90" t="inlineStr">
        <is>
          <t>Held</t>
        </is>
      </c>
      <c r="I4" s="84" t="inlineStr">
        <is>
          <t>Yes</t>
        </is>
      </c>
      <c r="J4" s="84" t="inlineStr">
        <is>
          <t>When Step 3b is built, the called-strike vs called-ball decision must incorporate catcher framing skill scoped to the shadow zone.</t>
        </is>
      </c>
      <c r="K4" s="84" t="inlineStr">
        <is>
          <t>1. Framing bias only on shadow-zone takes (p in [0.20, 0.80]).
2. Heart and chase zones bypass framing.
3. Logit-space adjustment from strike_rate_vs_expected.
4. Bias bounded; baseline 0.50 cannot exceed [0.30, 0.70].
5. Validation gate: top vs bottom decile framer K-rate differs by 0.3-0.8 K/game.
6. Validation gate: BB-rate inverse (0.2-0.5 more BB for bottom-decile).
7. PlayResult exposes catcher_framing_delta.
8. Walk-forward backtest: framing-on K-prop has lower MAE than baseline.</t>
        </is>
      </c>
      <c r="L4" s="84" t="inlineStr">
        <is>
          <t>Phase 4 simulation loop scaffolding</t>
        </is>
      </c>
      <c r="M4" s="84" t="inlineStr">
        <is>
          <t>Forward-looking placeholder; do NOT ship standalone.</t>
        </is>
      </c>
    </row>
    <row r="5" ht="147" customHeight="1" s="47">
      <c r="A5" s="84" t="inlineStr">
        <is>
          <t>SIM-201</t>
        </is>
      </c>
      <c r="B5" s="84" t="inlineStr">
        <is>
          <t>Step 3b: Catcher Blocking Coefficient on Dirt-Pitch Outcomes</t>
        </is>
      </c>
      <c r="C5" s="84" t="inlineStr">
        <is>
          <t>Phase 4 placeholder</t>
        </is>
      </c>
      <c r="D5" s="84" t="inlineStr">
        <is>
          <t>Phase 4 design constraint</t>
        </is>
      </c>
      <c r="E5" s="85" t="inlineStr">
        <is>
          <t>P1</t>
        </is>
      </c>
      <c r="F5" s="84" t="inlineStr">
        <is>
          <t>S (when Phase 4 lands)</t>
        </is>
      </c>
      <c r="G5" s="84" t="inlineStr">
        <is>
          <t>Backend Developer + ML Engineer + Baseball Analyst</t>
        </is>
      </c>
      <c r="H5" s="90" t="inlineStr">
        <is>
          <t>Held</t>
        </is>
      </c>
      <c r="I5" s="84" t="inlineStr">
        <is>
          <t>Yes</t>
        </is>
      </c>
      <c r="J5" s="84" t="inlineStr">
        <is>
          <t>When Step 3b resolves to ball-in-dirt with runner(s) on, catcher blocking skill must influence WP/PB probability and runner advancement.</t>
        </is>
      </c>
      <c r="K5" s="84" t="inlineStr">
        <is>
          <t>1. Blocking coefficient applies only when runner on AND dirt context.
2. Catcher block_rate_in_dirt vs league avg multiplied against base WP/PB prob.
3. WP vs PB classification by 'unblockable by avg catcher' (pitcher) vs 'should have been blocked' (catcher).
4. Baserunner advancement via existing Step 5 logic.
5. Validation: ER differential 0.05-0.15 ER/game between elite/bottom-decile.
6. Validation: combined WP+PB matches league rate (~1.0-1.5/game) +/-10%.
7. PlayResult exposes block_event_type and runners_advanced_on_block.</t>
        </is>
      </c>
      <c r="L5" s="84" t="inlineStr">
        <is>
          <t>Phase 4 simulation loop scaffolding</t>
        </is>
      </c>
      <c r="M5" s="84" t="inlineStr">
        <is>
          <t>Forward-looking placeholder; do NOT ship standalone.</t>
        </is>
      </c>
    </row>
  </sheetData>
  <autoFilter ref="A1:M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M19"/>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71484375" defaultRowHeight="15" customHeight="0" zeroHeight="0" outlineLevelRow="0"/>
  <cols>
    <col width="11" customWidth="1" style="46" min="1" max="1"/>
    <col width="50" customWidth="1" style="46" min="2" max="2"/>
    <col width="18" customWidth="1" style="46" min="3" max="3"/>
    <col width="16" customWidth="1" style="46" min="4" max="4"/>
    <col width="10" customWidth="1" style="46" min="5" max="5"/>
    <col width="18" customWidth="1" style="46" min="6" max="6"/>
    <col width="32" customWidth="1" style="46" min="7" max="7"/>
    <col width="12" customWidth="1" style="46" min="8" max="8"/>
    <col width="9" customWidth="1" style="46" min="9" max="9"/>
    <col width="50" customWidth="1" style="46" min="10" max="11"/>
    <col width="30" customWidth="1" style="46" min="12" max="12"/>
    <col width="35" customWidth="1" style="46" min="13" max="13"/>
  </cols>
  <sheetData>
    <row r="1" ht="30" customHeight="1" s="47">
      <c r="A1" s="83" t="inlineStr">
        <is>
          <t>Ticket ID</t>
        </is>
      </c>
      <c r="B1" s="83" t="inlineStr">
        <is>
          <t>Title</t>
        </is>
      </c>
      <c r="C1" s="83" t="inlineStr">
        <is>
          <t>Category</t>
        </is>
      </c>
      <c r="D1" s="83" t="inlineStr">
        <is>
          <t>Type</t>
        </is>
      </c>
      <c r="E1" s="83" t="inlineStr">
        <is>
          <t>Priority</t>
        </is>
      </c>
      <c r="F1" s="83" t="inlineStr">
        <is>
          <t>Size</t>
        </is>
      </c>
      <c r="G1" s="83" t="inlineStr">
        <is>
          <t>Assignee Role</t>
        </is>
      </c>
      <c r="H1" s="83" t="inlineStr">
        <is>
          <t>Status</t>
        </is>
      </c>
      <c r="I1" s="83" t="inlineStr">
        <is>
          <t>Blocked</t>
        </is>
      </c>
      <c r="J1" s="83" t="inlineStr">
        <is>
          <t>Description/Problem Statement</t>
        </is>
      </c>
      <c r="K1" s="83" t="inlineStr">
        <is>
          <t>Acceptance Criteria</t>
        </is>
      </c>
      <c r="L1" s="83" t="inlineStr">
        <is>
          <t>Dependencies</t>
        </is>
      </c>
      <c r="M1" s="83" t="inlineStr">
        <is>
          <t>Notes/Rationale</t>
        </is>
      </c>
    </row>
    <row r="2" ht="157.5" customHeight="1" s="47">
      <c r="A2" s="84" t="inlineStr">
        <is>
          <t>SIM-118</t>
        </is>
      </c>
      <c r="B2" s="84" t="inlineStr">
        <is>
          <t>Create performance benchmark harness — without measurement, SLA targets are estimates</t>
        </is>
      </c>
      <c r="C2" s="84" t="inlineStr">
        <is>
          <t>Performance</t>
        </is>
      </c>
      <c r="D2" s="84" t="inlineStr">
        <is>
          <t>Gap</t>
        </is>
      </c>
      <c r="E2" s="85" t="inlineStr">
        <is>
          <t>P1</t>
        </is>
      </c>
      <c r="F2" s="84" t="inlineStr">
        <is>
          <t>M (3–5 days)</t>
        </is>
      </c>
      <c r="G2" s="84" t="inlineStr">
        <is>
          <t>Performance Engineer</t>
        </is>
      </c>
      <c r="H2" s="87" t="inlineStr">
        <is>
          <t>Open</t>
        </is>
      </c>
      <c r="I2" s="84" t="inlineStr">
        <is>
          <t>No</t>
        </is>
      </c>
      <c r="J2" s="84" t="inlineStr">
        <is>
          <t>No benchmarking infrastructure exists. All performance estimates from the PE audit are models derived from known Python/FAISS throughput, not measurements on this codebase. The benchmark harness must exist before Phase 4 simulation loop code is written, or performance regressions accumulate invisibly.</t>
        </is>
      </c>
      <c r="K2" s="84" t="inlineStr">
        <is>
          <t>1. Create tests/performance/bench_simulation.py with pytest-benchmark fixtures.
2. Benchmark 1 — Engine query latency: pitcher engine query() p50 &lt;= 5ms, p99 &lt;= 20ms.
3. Benchmark 2 — Arsenal cache lookup: all scores for one query pitcher from 2,400-profile cache &lt;= 0.1ms (validates SIM-075 NumPy slice).
4. Benchmark 3 — GMM fitting: all pitchers for one season &lt;= 10 minutes on CI machine.
5. Benchmark 4 (Phase 4 stub): simulate_game() median &lt;= 2s — add with pytest.mark.skip until Phase 4 exists.
6. Benchmark 5 (Phase 5 stub): run_simulations(n=100) &lt;= 30s — same skip pattern.
7. Add to CI as weekly scheduled job (not per-commit).</t>
        </is>
      </c>
      <c r="L2" s="84" t="inlineStr">
        <is>
          <t>SIM-075 (must be benchmarked after vectorization), SIM-147 (pytest config)</t>
        </is>
      </c>
      <c r="M2" s="84" t="inlineStr">
        <is>
          <t>All PE recommendations are hypothetical until this exists. Build it now, validate Phase 4 later.</t>
        </is>
      </c>
    </row>
    <row r="3" ht="135.75" customHeight="1" s="47">
      <c r="A3" s="84" t="inlineStr">
        <is>
          <t>SIM-143</t>
        </is>
      </c>
      <c r="B3" s="84" t="inlineStr">
        <is>
          <t>CLV dashboard API endpoint: GET /api/betting/clv/summary with segment breakdown</t>
        </is>
      </c>
      <c r="C3" s="84" t="inlineStr">
        <is>
          <t>Betting Infrastructure</t>
        </is>
      </c>
      <c r="D3" s="84" t="inlineStr">
        <is>
          <t>Feature</t>
        </is>
      </c>
      <c r="E3" s="85" t="inlineStr">
        <is>
          <t>P1</t>
        </is>
      </c>
      <c r="F3" s="84" t="inlineStr">
        <is>
          <t>M (3–5 days)</t>
        </is>
      </c>
      <c r="G3" s="84" t="inlineStr">
        <is>
          <t>Backend Developer + Betting Analyst</t>
        </is>
      </c>
      <c r="H3" s="87" t="inlineStr">
        <is>
          <t>Open</t>
        </is>
      </c>
      <c r="I3" s="84" t="inlineStr">
        <is>
          <t>No</t>
        </is>
      </c>
      <c r="J3" s="84" t="inlineStr">
        <is>
          <t>The CLV dashboard is how the platform measures whether it's actually working. Without it, there is no operational visibility into simulation edge quality. This endpoint is the primary instrument panel for validating and monitoring the platform's primary use case.</t>
        </is>
      </c>
      <c r="K3" s="84" t="inlineStr">
        <is>
          <t>1. GET /api/betting/clv/summary accepts: start_date, end_date, market_type, min_signal_reliability query params.
2. Returns: mean_clv, sample_size, win_rate, roi_pct, by_market_type (moneyline/runline/total/prop), by_signal_reliability (LOW/MEDIUM/HIGH), by_prop_stat (strikeouts/hits/home_runs).
3. Each segment: mean_clv, sample_size, win_rate, ECE. Segments with sample_size &lt; 30 return null values with 'insufficient_sample: true'.
4. GET /api/betting/clv/signals: recent bet_log entries for live monitoring.
5. Both endpoints use the standard error envelope (SIM-109).</t>
        </is>
      </c>
      <c r="L3" s="84" t="inlineStr">
        <is>
          <t>SIM-135 (bet_log table), SIM-136 (CLV computation), SIM-109 (API structure)</t>
        </is>
      </c>
      <c r="M3" s="84" t="inlineStr">
        <is>
          <t>This endpoint makes CLV measurable operationally, not just in backtesting.</t>
        </is>
      </c>
    </row>
    <row r="4" ht="157.5" customHeight="1" s="47">
      <c r="A4" s="84" t="inlineStr">
        <is>
          <t>SIM-111</t>
        </is>
      </c>
      <c r="B4" s="84" t="inlineStr">
        <is>
          <t>Define play pool query API column contracts before Phase 3 delivery</t>
        </is>
      </c>
      <c r="C4" s="84" t="inlineStr">
        <is>
          <t>Backend API</t>
        </is>
      </c>
      <c r="D4" s="84" t="inlineStr">
        <is>
          <t>Gap</t>
        </is>
      </c>
      <c r="E4" s="85" t="inlineStr">
        <is>
          <t>P1</t>
        </is>
      </c>
      <c r="F4" s="84" t="inlineStr">
        <is>
          <t>S (1–2 days)</t>
        </is>
      </c>
      <c r="G4" s="84" t="inlineStr">
        <is>
          <t>Backend Developer + Data Engineer</t>
        </is>
      </c>
      <c r="H4" s="87" t="inlineStr">
        <is>
          <t>Open</t>
        </is>
      </c>
      <c r="I4" s="84" t="inlineStr">
        <is>
          <t>No</t>
        </is>
      </c>
      <c r="J4" s="84" t="inlineStr">
        <is>
          <t>The play pool query API (get_pitch_pool(), get_outcome_pool(), get_batted_ball_pool()) has no defined column contract. Phase 4 Steps 2 and 3b sample from DataFrames returned by these functions. Without knowing what columns exist, Phase 4 step implementations will be written against assumed schemas that break at integration time.</t>
        </is>
      </c>
      <c r="K4" s="84" t="inlineStr">
        <is>
          <t>1. Define get_pitch_pool() → DataFrame: [pitch_id, pitcher_id, batter_id, p_throws, stand, velo, ivb, hb, spin_rate, spin_axis, release_x, release_z, release_ext, plate_x, plate_z, zone, season, game_date, recency_weight, combined_weight].
2. Define get_outcome_pool() additions: [exit_velo, launch_angle, spray_angle, pull_relative_spray_angle, bb_type, result_hits, result_outs, result_runs, fielded_by_position, fielding_error_position].
3. Define combined_weight computation: pitcher_similarity × batter_similarity × situation_similarity × recency_weight.
4. Formalise as TypedDict or dataclass in simulator/pool_api.py.
5. PM review and approval before Phase 3 coding begins.</t>
        </is>
      </c>
      <c r="L4" s="84" t="inlineStr">
        <is>
          <t>SIM-076 (recency_weight column must exist)</t>
        </is>
      </c>
      <c r="M4" s="84" t="inlineStr">
        <is>
          <t>Phase 4 cannot be correctly implemented without this contract being locked.</t>
        </is>
      </c>
    </row>
    <row r="5" ht="191.25" customHeight="1" s="47">
      <c r="A5" s="84" t="inlineStr">
        <is>
          <t>SIM-107</t>
        </is>
      </c>
      <c r="B5" s="84" t="inlineStr">
        <is>
          <t>Create tests/unit/test_live_ingestion_pipeline.py — 7 BE bugs, 0% coverage</t>
        </is>
      </c>
      <c r="C5" s="84" t="inlineStr">
        <is>
          <t>Testing</t>
        </is>
      </c>
      <c r="D5" s="84" t="inlineStr">
        <is>
          <t>Bug</t>
        </is>
      </c>
      <c r="E5" s="85" t="inlineStr">
        <is>
          <t>P1</t>
        </is>
      </c>
      <c r="F5" s="84" t="inlineStr">
        <is>
          <t>M (3–5 days)</t>
        </is>
      </c>
      <c r="G5" s="84" t="inlineStr">
        <is>
          <t>Backend Developer + QA/DevOps</t>
        </is>
      </c>
      <c r="H5" s="87" t="inlineStr">
        <is>
          <t>Open</t>
        </is>
      </c>
      <c r="I5" s="84" t="inlineStr">
        <is>
          <t>No</t>
        </is>
      </c>
      <c r="J5" s="84" t="inlineStr">
        <is>
          <t>live_ingestion_pipeline.py has zero test coverage. The BE audit found 7 bugs in this file. All 7 would be caught by basic unit tests. The component handles live game state during MLB games — bugs manifest during production use with no test safety net. All prior BE bug fixes (SIM-099, SIM-100, SIM-101, SIM-102, SIM-103) need permanent regression coverage.</t>
        </is>
      </c>
      <c r="K5" s="84" t="inlineStr">
        <is>
          <t>1. GameStateBuilder.build() with fixture feed dict: assert all required JSONB keys present; assert current_pitcher_id from matchup dict (not offense dict).
2. _infer_role(): parametrize SP (5.1IP), Opener (0.2IP, 10BF), MRP (1.1IP), RP.
3. _should_resimulate(): isComplete=True → True; duplicate at_bat guard → False; non-Live status → False.
4. ConnectionManager.broadcast(): dead connection cleanup; no RuntimeError when disconnect fires during send.
5. _get_days_rest() batch: 12 bullpen pitchers → exactly 1 DB query.
6. Redis key regression: key written by _cache_to_redis() == key read by fallback.
7. Hypothesis property test: random valid feed dict → always produces all required keys.
8. Use AsyncMock for all asyncpg calls; pytest.mark.asyncio. Minimum 40 tests.</t>
        </is>
      </c>
      <c r="L5" s="84" t="inlineStr">
        <is>
          <t>SIM-099, SIM-100, SIM-101, SIM-102, SIM-103 (bugs fixed first), SIM-152 (conftest)</t>
        </is>
      </c>
      <c r="M5" s="84" t="inlineStr">
        <is>
          <t>Most complex component in Phase 2 scope with zero coverage — highest testing priority.</t>
        </is>
      </c>
    </row>
    <row r="6" ht="191.25" customHeight="1" s="47">
      <c r="A6" s="84" t="inlineStr">
        <is>
          <t>SIM-141</t>
        </is>
      </c>
      <c r="B6" s="84" t="inlineStr">
        <is>
          <t>Create betting/vig_removal.py — define multiplicative vig removal as the platform standard</t>
        </is>
      </c>
      <c r="C6" s="84" t="inlineStr">
        <is>
          <t>Betting Infrastructure</t>
        </is>
      </c>
      <c r="D6" s="84" t="inlineStr">
        <is>
          <t>Gap</t>
        </is>
      </c>
      <c r="E6" s="85" t="inlineStr">
        <is>
          <t>P1</t>
        </is>
      </c>
      <c r="F6" s="84" t="inlineStr">
        <is>
          <t>S (&lt; 1 day)</t>
        </is>
      </c>
      <c r="G6" s="84" t="inlineStr">
        <is>
          <t>Betting Analyst + Backend Developer</t>
        </is>
      </c>
      <c r="H6" s="87" t="inlineStr">
        <is>
          <t>Open</t>
        </is>
      </c>
      <c r="I6" s="84" t="inlineStr">
        <is>
          <t>No</t>
        </is>
      </c>
      <c r="J6" s="84" t="inlineStr">
        <is>
          <t>Three components of the platform compute implied probability from American odds: edge calculation in SimulationResults, CLV computation in bet_log, and the OddsDisplay frontend component (via backend). Without a shared utility, each will implement a different vig removal method, producing inconsistent edge signals.</t>
        </is>
      </c>
      <c r="K6" s="84" t="inlineStr">
        <is>
          <t>1. Create betting/vig_removal.py with: remove_vig_multiplicative(home_ml: int, away_ml: int) → tuple[float, float]. Implementation: convert both to raw implied probs, divide each by sum to normalize. Example: -130/+110 → (0.565, 0.476) → sum 1.041 → vig-removed (0.543, 0.457).
2. Add remove_vig_shin() as documented alternative for heavy favourites (&gt;-200).
3. Add american_to_implied(ml: int) → float (raw, no vig removal).
4. Add implied_to_american(prob: float) → int.
5. This module imported by: betting/clv.py, betting/signal.py, simulation API endpoint (edge fields), MockOddsAPI vig calculation.
6. Unit tests: multiplicative removal produces probs summing to exactly 1.0; Shin produces lower implied prob for heavy favourites than multiplicative.</t>
        </is>
      </c>
      <c r="L6" s="84" t="inlineStr">
        <is>
          <t>None</t>
        </is>
      </c>
      <c r="M6" s="84" t="inlineStr">
        <is>
          <t>Foundational utility — must exist before CLV framework (SIM-136) or edge fields (SIM-112) are implemented.</t>
        </is>
      </c>
    </row>
    <row r="7" ht="157.5" customHeight="1" s="47">
      <c r="A7" s="84" t="inlineStr">
        <is>
          <t>SIM-139</t>
        </is>
      </c>
      <c r="B7" s="84" t="inlineStr">
        <is>
          <t>Define real odds integration spec: provider, cadence, multi-book hierarchy, prop timing</t>
        </is>
      </c>
      <c r="C7" s="84" t="inlineStr">
        <is>
          <t>Betting Infrastructure</t>
        </is>
      </c>
      <c r="D7" s="84" t="inlineStr">
        <is>
          <t>Gap</t>
        </is>
      </c>
      <c r="E7" s="85" t="inlineStr">
        <is>
          <t>P1</t>
        </is>
      </c>
      <c r="F7" s="84" t="inlineStr">
        <is>
          <t>M (3–5 days)</t>
        </is>
      </c>
      <c r="G7" s="84" t="inlineStr">
        <is>
          <t>Betting Analyst + Data Engineer</t>
        </is>
      </c>
      <c r="H7" s="87" t="inlineStr">
        <is>
          <t>Open</t>
        </is>
      </c>
      <c r="I7" s="84" t="inlineStr">
        <is>
          <t>No</t>
        </is>
      </c>
      <c r="J7" s="84" t="inlineStr">
        <is>
          <t>Phase 7 says 'swap in a real odds provider' with no spec for which provider, cadence, or multi-book methodology. Without this spec in Phase 5, the schema and ingestion architecture won't support CLV measurement when Phase 7 arrives.</t>
        </is>
      </c>
      <c r="K7" s="84" t="inlineStr">
        <is>
          <t>1. Provider recommendation: The Odds API (supports MLB moneylines, run lines, totals, player props; historical odds; multi-book including Pinnacle).
2. Ingestion cadence: opening line at T-6 days (SIM-138); hourly T-24h to T-3h; 5-minute T-3h to T-30min; 1-minute T-30min to first pitch.
3. Multi-book hierarchy: CLV benchmark = Pinnacle (sharpest closing line); edge calculation uses Pinnacle-equivalent implied probability as denominator; is_sharp_book=True for Pinnacle rows.
4. Prop line timing: pitcher props T-2h; batter props T-1h; SGP T-30min.
5. This spec reviewed by Betting Analyst and PM before Phase 7 integration begins.</t>
        </is>
      </c>
      <c r="L7" s="84" t="inlineStr">
        <is>
          <t>SIM-133 (book and line_type columns), SIM-134 (raw.prop_odds table)</t>
        </is>
      </c>
      <c r="M7" s="84" t="inlineStr">
        <is>
          <t>The 'replace one function' comment in live_ingestion_pipeline.py will produce a broken CLV system without this spec.</t>
        </is>
      </c>
    </row>
    <row r="8" ht="124.5" customHeight="1" s="47">
      <c r="A8" s="84" t="inlineStr">
        <is>
          <t>SIM-115</t>
        </is>
      </c>
      <c r="B8" s="84" t="inlineStr">
        <is>
          <t>Prune DuckDB sim pool indexes — keep 3 query-path indexes, drop 8 write-overhead indexes</t>
        </is>
      </c>
      <c r="C8" s="84" t="inlineStr">
        <is>
          <t>Schema / ETL</t>
        </is>
      </c>
      <c r="D8" s="84" t="inlineStr">
        <is>
          <t>Improvement</t>
        </is>
      </c>
      <c r="E8" s="85" t="inlineStr">
        <is>
          <t>P1</t>
        </is>
      </c>
      <c r="F8" s="84" t="inlineStr">
        <is>
          <t>S (&lt; 1 day)</t>
        </is>
      </c>
      <c r="G8" s="84" t="inlineStr">
        <is>
          <t>Data Engineer + Performance Engineer</t>
        </is>
      </c>
      <c r="H8" s="87" t="inlineStr">
        <is>
          <t>Open</t>
        </is>
      </c>
      <c r="I8" s="84" t="inlineStr">
        <is>
          <t>No</t>
        </is>
      </c>
      <c r="J8" s="84" t="inlineStr">
        <is>
          <t>sim.pitch_pool has 11 secondary indexes. DuckDB is a columnar engine with built-in zone maps and Bloom filters — it benefits far less from secondary indexes than PostgreSQL. Most of these indexes will never be used by the play pool query API which pre-filters by pitcher before any pool is materialized as a DataFrame. The 11 indexes add nightly rebuild overhead on a 1M+ row table.</t>
        </is>
      </c>
      <c r="K8" s="84" t="inlineStr">
        <is>
          <t>1. Keep on sim.pitch_pool: idx_pp_pitcher_season (primary access pattern), idx_pp_outcome (filters in_play rows), idx_pp_count (situational pre-filter).
2. Drop: idx_pp_pitcher, idx_pp_batter, idx_pp_season, idx_pp_game_date, idx_pp_batter_season, idx_pp_runners, idx_pp_velo, idx_pp_ivb — all superseded by pitcher pre-filter reducing scan to ~3,000 rows.
3. Apply same analysis to sim.outcome_pool.
4. PE must confirm Phase 3 play pool query access patterns (SIM-111) before finalizing which indexes to keep.
5. Deliver as DuckDB migration file.</t>
        </is>
      </c>
      <c r="L8" s="84" t="inlineStr">
        <is>
          <t>SIM-111 (play pool query contracts must be confirmed first)</t>
        </is>
      </c>
      <c r="M8" s="84" t="inlineStr">
        <is>
          <t>Do not drop indexes until SIM-111 access patterns are confirmed — dropping the wrong index causes a regression.</t>
        </is>
      </c>
    </row>
    <row r="9" ht="135.75" customHeight="1" s="47">
      <c r="A9" s="84" t="inlineStr">
        <is>
          <t>SIM-119</t>
        </is>
      </c>
      <c r="B9" s="84" t="inlineStr">
        <is>
          <t>Define per-step time budget for the 8-step simulation loop</t>
        </is>
      </c>
      <c r="C9" s="84" t="inlineStr">
        <is>
          <t>Performance</t>
        </is>
      </c>
      <c r="D9" s="84" t="inlineStr">
        <is>
          <t>Gap</t>
        </is>
      </c>
      <c r="E9" s="85" t="inlineStr">
        <is>
          <t>P1</t>
        </is>
      </c>
      <c r="F9" s="84" t="inlineStr">
        <is>
          <t>S (&lt; 1 day)</t>
        </is>
      </c>
      <c r="G9" s="84" t="inlineStr">
        <is>
          <t>Performance Engineer + Backend Developer</t>
        </is>
      </c>
      <c r="H9" s="87" t="inlineStr">
        <is>
          <t>Open</t>
        </is>
      </c>
      <c r="I9" s="84" t="inlineStr">
        <is>
          <t>No</t>
        </is>
      </c>
      <c r="J9" s="84" t="inlineStr">
        <is>
          <t>The 2s single-game SLA has no per-step budget. Without step budgets, Phase 4 has no way to know if each step is on track during implementation. Each step must have a pytest-benchmark assertion as part of its acceptance criteria.</t>
        </is>
      </c>
      <c r="K9" s="84" t="inlineStr">
        <is>
          <t>1. Lock step budgets (per pitch invocation): Step 1 steal ≤0.05ms · Step 2 pitch selection ≤0.15ms · Step 3a/3b outcome ≤0.15ms · Step 4 fielding ≤0.10ms · Step 5 baserunner ≤0.05ms · Step 6 state update ≤0.05ms · Step 7 manager (end of PA only) ≤0.20ms · Step 8 loop control ≤0.03ms.
2. Total per pitch: ≤0.78ms × 300 pitches = ≤234ms per game iteration → 100 iterations in ≤23.4s (within 30s SLA).
3. Each step implementation in simulator/steps/ must include a pytest-benchmark assertion against its budget.
4. Add benchmarks to the SIM-118 harness as Benchmark Group 3 (simulation step budgets).</t>
        </is>
      </c>
      <c r="L9" s="84" t="inlineStr">
        <is>
          <t>SIM-118 (benchmark harness infrastructure)</t>
        </is>
      </c>
      <c r="M9" s="84" t="inlineStr">
        <is>
          <t>Step budgets convert the 30s SLA from a post-hoc check into a per-step implementation requirement.</t>
        </is>
      </c>
    </row>
    <row r="10" ht="147" customHeight="1" s="47">
      <c r="A10" s="84" t="inlineStr">
        <is>
          <t>SIM-120</t>
        </is>
      </c>
      <c r="B10" s="84" t="inlineStr">
        <is>
          <t>Benchmark ProcessPoolExecutor vs ThreadPoolExecutor for simulation runner before Phase 5 commits</t>
        </is>
      </c>
      <c r="C10" s="84" t="inlineStr">
        <is>
          <t>Performance</t>
        </is>
      </c>
      <c r="D10" s="84" t="inlineStr">
        <is>
          <t>Gap</t>
        </is>
      </c>
      <c r="E10" s="85" t="inlineStr">
        <is>
          <t>P1</t>
        </is>
      </c>
      <c r="F10" s="84" t="inlineStr">
        <is>
          <t>S (1–2 days)</t>
        </is>
      </c>
      <c r="G10" s="84" t="inlineStr">
        <is>
          <t>Performance Engineer + Backend Developer</t>
        </is>
      </c>
      <c r="H10" s="87" t="inlineStr">
        <is>
          <t>Open</t>
        </is>
      </c>
      <c r="I10" s="84" t="inlineStr">
        <is>
          <t>No</t>
        </is>
      </c>
      <c r="J10" s="84" t="inlineStr">
        <is>
          <t>The ProcessPoolExecutor choice is based on the assumption that Python's GIL bottlenecks thread-parallel simulation. FAISS and NumPy both release the GIL during computation. ThreadPoolExecutor may achieve comparable throughput with zero IPC overhead, zero spawn cost, and shared memory automatically. This must be benchmarked on one complete game simulation before Phase 5 commits to an architecture.</t>
        </is>
      </c>
      <c r="K10" s="84" t="inlineStr">
        <is>
          <t>1. Requires Phase 4 simulate_game() to exist before benchmarking.
2. Benchmark ProcessPoolExecutor (n=100): shared memory for play pool and FAISS index, measure throughput and total RAM.
3. Benchmark ThreadPoolExecutor (n=100): threads share heap automatically, no shared memory setup, measure throughput and CPU utilization across cores.
4. Decision rule: if ThreadPoolExecutor achieves &gt;= 80% of ProcessPoolExecutor throughput, prefer threads for operational simplicity.
5. Document benchmark results and architectural decision in simulator/runner.py.</t>
        </is>
      </c>
      <c r="L10" s="84" t="inlineStr">
        <is>
          <t>Phase 4 simulate_game() must be implemented first</t>
        </is>
      </c>
      <c r="M10" s="84" t="inlineStr">
        <is>
          <t>If threads work, eliminates the entire shared memory complexity of the process pool approach.</t>
        </is>
      </c>
    </row>
    <row r="11" ht="135.75" customHeight="1" s="47">
      <c r="A11" s="84" t="inlineStr">
        <is>
          <t>SIM-113</t>
        </is>
      </c>
      <c r="B11" s="84" t="inlineStr">
        <is>
          <t>Fix GMM batch pipeline performance: dynamic n_workers, eliminate per-pitcher IPC, batch DuckDB writes</t>
        </is>
      </c>
      <c r="C11" s="84" t="inlineStr">
        <is>
          <t>Performance</t>
        </is>
      </c>
      <c r="D11" s="84" t="inlineStr">
        <is>
          <t>Improvement</t>
        </is>
      </c>
      <c r="E11" s="85" t="inlineStr">
        <is>
          <t>P1</t>
        </is>
      </c>
      <c r="F11" s="84" t="inlineStr">
        <is>
          <t>M (3–5 days)</t>
        </is>
      </c>
      <c r="G11" s="84" t="inlineStr">
        <is>
          <t>Performance Engineer + Data Engineer</t>
        </is>
      </c>
      <c r="H11" s="87" t="inlineStr">
        <is>
          <t>Open</t>
        </is>
      </c>
      <c r="I11" s="84" t="inlineStr">
        <is>
          <t>No</t>
        </is>
      </c>
      <c r="J11" s="84" t="inlineStr">
        <is>
          <t>Three performance bugs in player_profile_computor.py GMM fitting:
(1) n_workers hardcoded to 8 — over-subscribes 4-core machines.
(2) Per-pitcher IPC overhead: one DataFrame per pitcher sent to workers via pickle (~34s of overhead on a 4-season rebuild).
(3) Per-GMM DuckDB UPDATEs: ~2,800 sequential writes after fitting.
(4) O(N×P) pandas split: season_df filtered per pitcher in a loop.</t>
        </is>
      </c>
      <c r="K11" s="84" t="inlineStr">
        <is>
          <t>1. Restore dynamic worker count: n_workers = max(1, (os.cpu_count() or 2) - 1).
2. Eliminate per-pitcher IPC: pass full season NumPy array + pitcher_id_list to workers; worker splits internally; one round-trip per chunk.
3. Replace per-pitcher UPDATEs with bulk INSERT OR REPLACE using parameterized DuckDB execute (not f-string SQL).
4. Replace per-pitcher pandas filter loop with single season_df.groupby('pitcher_id') call.
5. Benchmark: 4-season full rebuild completes GMM fitting + writing in &lt;= 30 minutes.</t>
        </is>
      </c>
      <c r="L11" s="84" t="inlineStr">
        <is>
          <t>None</t>
        </is>
      </c>
      <c r="M11" s="84" t="inlineStr">
        <is>
          <t>Makes the nightly batch job tractable before it's run against real multi-season data.</t>
        </is>
      </c>
    </row>
    <row r="12" ht="157.5" customHeight="1" s="47">
      <c r="A12" s="84" t="inlineStr">
        <is>
          <t>SIM-114</t>
        </is>
      </c>
      <c r="B12" s="84" t="inlineStr">
        <is>
          <t>FAISS index design spec: IVFFlat, nprobe, pre-filter requirement, and shared memory strategy</t>
        </is>
      </c>
      <c r="C12" s="84" t="inlineStr">
        <is>
          <t>Performance</t>
        </is>
      </c>
      <c r="D12" s="84" t="inlineStr">
        <is>
          <t>Gap</t>
        </is>
      </c>
      <c r="E12" s="85" t="inlineStr">
        <is>
          <t>P1</t>
        </is>
      </c>
      <c r="F12" s="84" t="inlineStr">
        <is>
          <t>M (3–5 days)</t>
        </is>
      </c>
      <c r="G12" s="84" t="inlineStr">
        <is>
          <t>Performance Engineer + ML Engineer</t>
        </is>
      </c>
      <c r="H12" s="87" t="inlineStr">
        <is>
          <t>Open</t>
        </is>
      </c>
      <c r="I12" s="84" t="inlineStr">
        <is>
          <t>No</t>
        </is>
      </c>
      <c r="J12" s="84" t="inlineStr">
        <is>
          <t>The current spec says 'FAISS flat index' which at 1M rows would produce ~300 seconds per 100-game batch — 10× over SLA. This ticket produces a written design spec (not implementation) that must be locked before Phase 3 builds the indexes.</t>
        </is>
      </c>
      <c r="K12" s="84" t="inlineStr">
        <is>
          <t>1. Index type decision: IVFFlat with nlist=512, nprobe=64 for pitch-to-pitch and batted ball engines. Performance Engineer must benchmark IVFFlat accuracy vs flat on sample pitch vectors before spec is locked.
2. Mandatory pre-filter: pitch pool must be filtered to pitcher_id + batter_handedness before any FAISS query. Document as a hard requirement.
3. Shared memory strategy: FAISS index loaded into multiprocessing.shared_memory at API startup; worker processes attach by name — zero-copy.
4. Memory budget: total RAM for play pool + FAISS indexes &lt;= 2GB regardless of worker count.
5. Spec document approved by PM before Phase 3 coding begins.</t>
        </is>
      </c>
      <c r="L12" s="84" t="inlineStr">
        <is>
          <t>None</t>
        </is>
      </c>
      <c r="M12" s="84" t="inlineStr">
        <is>
          <t>FATAL SLA risk if deferred — wrong choice here makes the 30s target unachievable.</t>
        </is>
      </c>
    </row>
    <row r="13" ht="23.25" customHeight="1" s="47">
      <c r="A13" s="84" t="inlineStr">
        <is>
          <t>SIM-100</t>
        </is>
      </c>
      <c r="B13" s="84" t="inlineStr">
        <is>
          <t>Fix GameStateBuilder roster parsing (4 bugs)</t>
        </is>
      </c>
      <c r="C13" s="84" t="inlineStr">
        <is>
          <t>Live Pipeline</t>
        </is>
      </c>
      <c r="D13" s="84" t="inlineStr">
        <is>
          <t>Bug</t>
        </is>
      </c>
      <c r="E13" s="85" t="inlineStr">
        <is>
          <t>P1</t>
        </is>
      </c>
      <c r="F13" s="84" t="inlineStr">
        <is>
          <t>S</t>
        </is>
      </c>
      <c r="G13" s="84" t="inlineStr">
        <is>
          <t>Backend Developer</t>
        </is>
      </c>
      <c r="H13" s="89" t="inlineStr">
        <is>
          <t>Closed</t>
        </is>
      </c>
      <c r="I13" s="84" t="inlineStr">
        <is>
          <t>No</t>
        </is>
      </c>
      <c r="J13" s="84" t="inlineStr">
        <is>
          <t>N+1 days_rest queries; wrong availability; dead code; wrong date anchor.</t>
        </is>
      </c>
      <c r="K13" s="84" t="inlineStr">
        <is>
          <t>_batch_days_rest single query; corrected availability; game_date param.</t>
        </is>
      </c>
      <c r="L13" s="84" t="inlineStr">
        <is>
          <t>None</t>
        </is>
      </c>
      <c r="M13" s="84" t="inlineStr">
        <is>
          <t>Shipped sprint 2026-05-05.</t>
        </is>
      </c>
    </row>
    <row r="14" ht="23.25" customHeight="1" s="47">
      <c r="A14" s="84" t="inlineStr">
        <is>
          <t>SIM-101</t>
        </is>
      </c>
      <c r="B14" s="84" t="inlineStr">
        <is>
          <t>Per-game GameStateBuilder cache + incremental play history</t>
        </is>
      </c>
      <c r="C14" s="84" t="inlineStr">
        <is>
          <t>Live Pipeline</t>
        </is>
      </c>
      <c r="D14" s="84" t="inlineStr">
        <is>
          <t>Bug</t>
        </is>
      </c>
      <c r="E14" s="85" t="inlineStr">
        <is>
          <t>P1</t>
        </is>
      </c>
      <c r="F14" s="84" t="inlineStr">
        <is>
          <t>M</t>
        </is>
      </c>
      <c r="G14" s="84" t="inlineStr">
        <is>
          <t>Backend Developer</t>
        </is>
      </c>
      <c r="H14" s="89" t="inlineStr">
        <is>
          <t>Closed</t>
        </is>
      </c>
      <c r="I14" s="84" t="inlineStr">
        <is>
          <t>No</t>
        </is>
      </c>
      <c r="J14" s="84" t="inlineStr">
        <is>
          <t>_parse_play_history rebuilt full history every WS message (O(N)).</t>
        </is>
      </c>
      <c r="K14" s="84" t="inlineStr">
        <is>
          <t>Per-game builder cache; incremental parse from last_at_bat_index.</t>
        </is>
      </c>
      <c r="L14" s="84" t="inlineStr">
        <is>
          <t>SIM-099, SIM-100</t>
        </is>
      </c>
      <c r="M14" s="84" t="inlineStr">
        <is>
          <t>Shipped sprint 2026-05-07. PM-accepted 2026-05-07.</t>
        </is>
      </c>
    </row>
    <row r="15" ht="23.25" customHeight="1" s="47">
      <c r="A15" s="84" t="inlineStr">
        <is>
          <t>SIM-102</t>
        </is>
      </c>
      <c r="B15" s="84" t="inlineStr">
        <is>
          <t>Fix _infer_role() opener misclassification</t>
        </is>
      </c>
      <c r="C15" s="84" t="inlineStr">
        <is>
          <t>Live Pipeline</t>
        </is>
      </c>
      <c r="D15" s="84" t="inlineStr">
        <is>
          <t>Bug</t>
        </is>
      </c>
      <c r="E15" s="85" t="inlineStr">
        <is>
          <t>P1</t>
        </is>
      </c>
      <c r="F15" s="84" t="inlineStr">
        <is>
          <t>S</t>
        </is>
      </c>
      <c r="G15" s="84" t="inlineStr">
        <is>
          <t>Backend Developer</t>
        </is>
      </c>
      <c r="H15" s="89" t="inlineStr">
        <is>
          <t>Closed</t>
        </is>
      </c>
      <c r="I15" s="84" t="inlineStr">
        <is>
          <t>No</t>
        </is>
      </c>
      <c r="J15" s="84" t="inlineStr">
        <is>
          <t>IP-only thresholds classified openers as MRP.</t>
        </is>
      </c>
      <c r="K15" s="84" t="inlineStr">
        <is>
          <t>Added Opener bucket using battersFaced; SP -&gt; Opener -&gt; MRP -&gt; RP.</t>
        </is>
      </c>
      <c r="L15" s="84" t="inlineStr">
        <is>
          <t>None</t>
        </is>
      </c>
      <c r="M15" s="84" t="inlineStr">
        <is>
          <t>Shipped sprint 2026-05-07. PM-accepted 2026-05-07. Temporary until SIM-057.</t>
        </is>
      </c>
    </row>
    <row r="16" ht="23.25" customHeight="1" s="47">
      <c r="A16" s="84" t="inlineStr">
        <is>
          <t>SIM-103</t>
        </is>
      </c>
      <c r="B16" s="84" t="inlineStr">
        <is>
          <t>ConnectionManager.broadcast() set snapshot</t>
        </is>
      </c>
      <c r="C16" s="84" t="inlineStr">
        <is>
          <t>Live Pipeline</t>
        </is>
      </c>
      <c r="D16" s="84" t="inlineStr">
        <is>
          <t>Bug</t>
        </is>
      </c>
      <c r="E16" s="85" t="inlineStr">
        <is>
          <t>P1</t>
        </is>
      </c>
      <c r="F16" s="84" t="inlineStr">
        <is>
          <t>S</t>
        </is>
      </c>
      <c r="G16" s="84" t="inlineStr">
        <is>
          <t>Backend Developer</t>
        </is>
      </c>
      <c r="H16" s="89" t="inlineStr">
        <is>
          <t>Closed</t>
        </is>
      </c>
      <c r="I16" s="84" t="inlineStr">
        <is>
          <t>No</t>
        </is>
      </c>
      <c r="J16" s="84" t="inlineStr">
        <is>
          <t>Iteration over live set raised RuntimeError on concurrent connect/disconnect.</t>
        </is>
      </c>
      <c r="K16" s="84" t="inlineStr">
        <is>
          <t>Snapshot via set(live_subs) before iterating.</t>
        </is>
      </c>
      <c r="L16" s="84" t="inlineStr">
        <is>
          <t>None</t>
        </is>
      </c>
      <c r="M16" s="84" t="inlineStr">
        <is>
          <t>Shipped sprint 2026-05-07. PM-accepted 2026-05-07.</t>
        </is>
      </c>
    </row>
    <row r="17" ht="23.25" customHeight="1" s="47">
      <c r="A17" s="84" t="inlineStr">
        <is>
          <t>SIM-104</t>
        </is>
      </c>
      <c r="B17" s="84" t="inlineStr">
        <is>
          <t>Add Redis-based rate limiting to /resimulate</t>
        </is>
      </c>
      <c r="C17" s="84" t="inlineStr">
        <is>
          <t>Live Pipeline</t>
        </is>
      </c>
      <c r="D17" s="84" t="inlineStr">
        <is>
          <t>Improvement</t>
        </is>
      </c>
      <c r="E17" s="85" t="inlineStr">
        <is>
          <t>P1</t>
        </is>
      </c>
      <c r="F17" s="84" t="inlineStr">
        <is>
          <t>S</t>
        </is>
      </c>
      <c r="G17" s="84" t="inlineStr">
        <is>
          <t>Backend Developer</t>
        </is>
      </c>
      <c r="H17" s="89" t="inlineStr">
        <is>
          <t>Closed</t>
        </is>
      </c>
      <c r="I17" s="84" t="inlineStr">
        <is>
          <t>No</t>
        </is>
      </c>
      <c r="J17" s="84" t="inlineStr">
        <is>
          <t>No debouncing on manual resimulate endpoint.</t>
        </is>
      </c>
      <c r="K17" s="84" t="inlineStr">
        <is>
          <t>Per-game Redis cooldown; 429 with retry_after_seconds; SIM-109 envelope.</t>
        </is>
      </c>
      <c r="L17" s="84" t="inlineStr">
        <is>
          <t>Redis lifecycle</t>
        </is>
      </c>
      <c r="M17" s="84" t="inlineStr">
        <is>
          <t>Shipped sprint 2026-05-07. PM-accepted 2026-05-07.</t>
        </is>
      </c>
    </row>
    <row r="18" ht="23.25" customHeight="1" s="47">
      <c r="A18" s="84" t="inlineStr">
        <is>
          <t>SIM-105</t>
        </is>
      </c>
      <c r="B18" s="84" t="inlineStr">
        <is>
          <t>Skip redundant upserts for completed games</t>
        </is>
      </c>
      <c r="C18" s="84" t="inlineStr">
        <is>
          <t>Live Pipeline</t>
        </is>
      </c>
      <c r="D18" s="84" t="inlineStr">
        <is>
          <t>Improvement</t>
        </is>
      </c>
      <c r="E18" s="88" t="inlineStr">
        <is>
          <t>P2</t>
        </is>
      </c>
      <c r="F18" s="84" t="inlineStr">
        <is>
          <t>S</t>
        </is>
      </c>
      <c r="G18" s="84" t="inlineStr">
        <is>
          <t>Backend Developer</t>
        </is>
      </c>
      <c r="H18" s="89" t="inlineStr">
        <is>
          <t>Closed</t>
        </is>
      </c>
      <c r="I18" s="84" t="inlineStr">
        <is>
          <t>No</t>
        </is>
      </c>
      <c r="J18" s="84" t="inlineStr">
        <is>
          <t>_sync_live_games called _upsert for finished games on every poll.</t>
        </is>
      </c>
      <c r="K18" s="84" t="inlineStr">
        <is>
          <t>_completed_games skip set + boot-time hydration from raw.games.</t>
        </is>
      </c>
      <c r="L18" s="84" t="inlineStr">
        <is>
          <t>None</t>
        </is>
      </c>
      <c r="M18" s="84" t="inlineStr">
        <is>
          <t>Shipped sprint 2026-05-07. PM-accepted 2026-05-07.</t>
        </is>
      </c>
    </row>
    <row r="19" ht="23.25" customHeight="1" s="47">
      <c r="A19" s="84" t="inlineStr">
        <is>
          <t>SIM-106</t>
        </is>
      </c>
      <c r="B19" s="84" t="inlineStr">
        <is>
          <t>Enforce async callable type on simulation_callback</t>
        </is>
      </c>
      <c r="C19" s="84" t="inlineStr">
        <is>
          <t>Live Pipeline</t>
        </is>
      </c>
      <c r="D19" s="84" t="inlineStr">
        <is>
          <t>Improvement</t>
        </is>
      </c>
      <c r="E19" s="85" t="inlineStr">
        <is>
          <t>P1</t>
        </is>
      </c>
      <c r="F19" s="84" t="inlineStr">
        <is>
          <t>S</t>
        </is>
      </c>
      <c r="G19" s="84" t="inlineStr">
        <is>
          <t>Backend Developer</t>
        </is>
      </c>
      <c r="H19" s="89" t="inlineStr">
        <is>
          <t>Closed</t>
        </is>
      </c>
      <c r="I19" s="84" t="inlineStr">
        <is>
          <t>No</t>
        </is>
      </c>
      <c r="J19" s="84" t="inlineStr">
        <is>
          <t>Callable | None could be a sync fn; failure was hard to diagnose.</t>
        </is>
      </c>
      <c r="K19" s="84" t="inlineStr">
        <is>
          <t>SimulationCallback type alias + iscoroutinefunction guard at __init__.</t>
        </is>
      </c>
      <c r="L19" s="84" t="inlineStr">
        <is>
          <t>None</t>
        </is>
      </c>
      <c r="M19" s="84" t="inlineStr">
        <is>
          <t>Shipped sprint 2026-05-07. PM-accepted 2026-05-07.</t>
        </is>
      </c>
    </row>
  </sheetData>
  <autoFilter ref="A1:M1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M6"/>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71484375" defaultRowHeight="15" customHeight="0" zeroHeight="0" outlineLevelRow="0"/>
  <cols>
    <col width="11" customWidth="1" style="46" min="1" max="1"/>
    <col width="50" customWidth="1" style="46" min="2" max="2"/>
    <col width="18" customWidth="1" style="46" min="3" max="3"/>
    <col width="16" customWidth="1" style="46" min="4" max="4"/>
    <col width="10" customWidth="1" style="46" min="5" max="5"/>
    <col width="18" customWidth="1" style="46" min="6" max="6"/>
    <col width="32" customWidth="1" style="46" min="7" max="7"/>
    <col width="12" customWidth="1" style="46" min="8" max="8"/>
    <col width="9" customWidth="1" style="46" min="9" max="9"/>
    <col width="50" customWidth="1" style="46" min="10" max="11"/>
    <col width="30" customWidth="1" style="46" min="12" max="12"/>
    <col width="35" customWidth="1" style="46" min="13" max="13"/>
  </cols>
  <sheetData>
    <row r="1" ht="30" customHeight="1" s="47">
      <c r="A1" s="83" t="inlineStr">
        <is>
          <t>Ticket ID</t>
        </is>
      </c>
      <c r="B1" s="83" t="inlineStr">
        <is>
          <t>Title</t>
        </is>
      </c>
      <c r="C1" s="83" t="inlineStr">
        <is>
          <t>Category</t>
        </is>
      </c>
      <c r="D1" s="83" t="inlineStr">
        <is>
          <t>Type</t>
        </is>
      </c>
      <c r="E1" s="83" t="inlineStr">
        <is>
          <t>Priority</t>
        </is>
      </c>
      <c r="F1" s="83" t="inlineStr">
        <is>
          <t>Size</t>
        </is>
      </c>
      <c r="G1" s="83" t="inlineStr">
        <is>
          <t>Assignee Role</t>
        </is>
      </c>
      <c r="H1" s="83" t="inlineStr">
        <is>
          <t>Status</t>
        </is>
      </c>
      <c r="I1" s="83" t="inlineStr">
        <is>
          <t>Blocked</t>
        </is>
      </c>
      <c r="J1" s="83" t="inlineStr">
        <is>
          <t>Description/Problem Statement</t>
        </is>
      </c>
      <c r="K1" s="83" t="inlineStr">
        <is>
          <t>Acceptance Criteria</t>
        </is>
      </c>
      <c r="L1" s="83" t="inlineStr">
        <is>
          <t>Dependencies</t>
        </is>
      </c>
      <c r="M1" s="83" t="inlineStr">
        <is>
          <t>Notes/Rationale</t>
        </is>
      </c>
    </row>
    <row r="2" ht="180" customHeight="1" s="47">
      <c r="A2" s="84" t="inlineStr">
        <is>
          <t>SIM-128</t>
        </is>
      </c>
      <c r="B2" s="84" t="inlineStr">
        <is>
          <t>Redesign override panel as staged-change queue with undo, multi-change, visual indicator system</t>
        </is>
      </c>
      <c r="C2" s="84" t="inlineStr">
        <is>
          <t>Frontend</t>
        </is>
      </c>
      <c r="D2" s="84" t="inlineStr">
        <is>
          <t>Improvement</t>
        </is>
      </c>
      <c r="E2" s="85" t="inlineStr">
        <is>
          <t>P1</t>
        </is>
      </c>
      <c r="F2" s="84" t="inlineStr">
        <is>
          <t>L (1–2 weeks)</t>
        </is>
      </c>
      <c r="G2" s="84" t="inlineStr">
        <is>
          <t>UX Designer</t>
        </is>
      </c>
      <c r="H2" s="87" t="inlineStr">
        <is>
          <t>Open</t>
        </is>
      </c>
      <c r="I2" s="84" t="inlineStr">
        <is>
          <t>No</t>
        </is>
      </c>
      <c r="J2" s="84" t="inlineStr">
        <is>
          <t>The current override spec supports only one substitution at a time with no undo. Real managerial decisions involve multiple simultaneous changes. The visual indicator for override mode is required but not designed. This is the most complex UI component in the entire platform.</t>
        </is>
      </c>
      <c r="K2" s="84" t="inlineStr">
        <is>
          <t>1. Staging area: queue of pending changes before confirmation. Each change listed with player_out → player_in + position + X button to remove.
2. Confirm All: single button submits all staged changes in one POST /simulate/with_override call.
3. Override visual indicator (four rules): (a) full-width amber banner above simulation results; (b) WinProbabilityBar, ProjectedBoxscore, ScoreDistributionChart all have amber left border; (c) page tab shows '(Override)'; (d) state persists until user clicks 'Clear override' — never auto-cleared.
4. Side-by-side comparison: WinProbabilityBar shows two stacked bars — 'Override' (amber) and 'Actual' (team color). ScoreDistributionChart shows overlapping histograms at 30% opacity.
5. Backend: POST /simulate/with_override must accept array of substitutions.</t>
        </is>
      </c>
      <c r="L2" s="84" t="inlineStr">
        <is>
          <t>SIM-109 (multi-substitution API endpoint), SIM-126 (Game Page layout — override drawer position)</t>
        </is>
      </c>
      <c r="M2" s="84" t="inlineStr">
        <is>
          <t>Most complex UI component — must be fully spec'd before Phase 6 Step 6.5 begins.</t>
        </is>
      </c>
    </row>
    <row r="3" ht="157.5" customHeight="1" s="47">
      <c r="A3" s="84" t="inlineStr">
        <is>
          <t>SIM-130</t>
        </is>
      </c>
      <c r="B3" s="84" t="inlineStr">
        <is>
          <t>Spec additions for Day Summary page: card lineup collapse, field graphic label rules, date navigation zones</t>
        </is>
      </c>
      <c r="C3" s="84" t="inlineStr">
        <is>
          <t>Frontend</t>
        </is>
      </c>
      <c r="D3" s="84" t="inlineStr">
        <is>
          <t>Bug</t>
        </is>
      </c>
      <c r="E3" s="85" t="inlineStr">
        <is>
          <t>P1</t>
        </is>
      </c>
      <c r="F3" s="84" t="inlineStr">
        <is>
          <t>M (3–5 days)</t>
        </is>
      </c>
      <c r="G3" s="84" t="inlineStr">
        <is>
          <t>UX Designer</t>
        </is>
      </c>
      <c r="H3" s="87" t="inlineStr">
        <is>
          <t>Open</t>
        </is>
      </c>
      <c r="I3" s="84" t="inlineStr">
        <is>
          <t>No</t>
        </is>
      </c>
      <c r="J3" s="84" t="inlineStr">
        <is>
          <t>Three spec gaps in the Day Summary page: (1) the in-progress card with two full lineups is physically unrenderable as a card; (2) the field graphic has no label collision rules or vacancy handling; (3) date navigation has no backward limit or historical mode definition.</t>
        </is>
      </c>
      <c r="K3" s="84" t="inlineStr">
        <is>
          <t>1. In-progress card lineup collapse: lineup panels collapsed behind 'Show Lineups ↓' toggle (default collapsed on Day Summary); expanded by default on Game Page.
2. Field graphic label rules: last name only (max 12 chars, truncated with ellipsis); minimum bounding box per position (infield 80px×20px, outfield 100px×20px); vacant positions show grey silhouette + 'TBD'; accepts actual fielder positions from game state (not fixed icons).
3. Date navigation zones: LIVE (today — full sim + odds); RECENT_HISTORY (yesterday → season start — sim available, odds 'N/A'); HISTORICAL (prior seasons — sim available, odds 'N/A', read-only). Disable navigation past MIN_NAVIGATION_DATE env var (default 2022-04-07). Date picker visually distinguishes the three zones.</t>
        </is>
      </c>
      <c r="L3" s="84" t="inlineStr">
        <is>
          <t>SIM-125 (mobile wireframes), SIM-126 (Game Page layout)</t>
        </is>
      </c>
      <c r="M3" s="84" t="inlineStr">
        <is>
          <t>Spec additions for Phase 6 Steps 6.2 and 6.3 — required before those steps begin implementation.</t>
        </is>
      </c>
    </row>
    <row r="4" ht="168.75" customHeight="1" s="47">
      <c r="A4" s="84" t="inlineStr">
        <is>
          <t>SIM-127</t>
        </is>
      </c>
      <c r="B4" s="84" t="inlineStr">
        <is>
          <t>Define simulation staleness system: last-updated timestamp, amber indicator, loading states, empty states</t>
        </is>
      </c>
      <c r="C4" s="84" t="inlineStr">
        <is>
          <t>Frontend</t>
        </is>
      </c>
      <c r="D4" s="84" t="inlineStr">
        <is>
          <t>Gap</t>
        </is>
      </c>
      <c r="E4" s="85" t="inlineStr">
        <is>
          <t>P1</t>
        </is>
      </c>
      <c r="F4" s="84" t="inlineStr">
        <is>
          <t>M (3–5 days)</t>
        </is>
      </c>
      <c r="G4" s="84" t="inlineStr">
        <is>
          <t>UX Designer + Backend Developer</t>
        </is>
      </c>
      <c r="H4" s="87" t="inlineStr">
        <is>
          <t>Open</t>
        </is>
      </c>
      <c r="I4" s="84" t="inlineStr">
        <is>
          <t>No</t>
        </is>
      </c>
      <c r="J4" s="84" t="inlineStr">
        <is>
          <t>Simulation results on in-progress cards can be up to 60 seconds stale. During a high-leverage inning, stale win% can be off by 40+ percentage points. No staleness indicator, loading state, or per-component empty state is specified. For a betting platform, users must always know whether displayed results are current.</t>
        </is>
      </c>
      <c r="K4" s="84" t="inlineStr">
        <is>
          <t>1. Staleness indicator: every SimulationSummaryCard and WinProbabilityBar displays 'Win probability as of [time]' from simulated_at field. If age &gt; 45s, show amber pulse animation + '(updating...)' text.
2. Loading state: when resim_pending WS message arrives, all simulation components switch to skeleton screen. Resolves when simulation_results WS message arrives.
3. SimulationConfidence component: 'Home 68% ±9% (n=100)' computed from confidence_interval_home/away fields.
4. Empty state matrix: SimulationSummaryCard (sim not run yet) → 'Sim results available ~30 min before first pitch'; ProjectedBoxscore (no lineup) → 'Lineup not yet announced'; LinescoreGraphic (not started) → 9 dash cells; BaseballFieldGraphic (no data) → grey silhouettes + 'TBD'.</t>
        </is>
      </c>
      <c r="L4" s="84" t="inlineStr">
        <is>
          <t>SIM-112 (simulated_at and confidence_interval fields), SIM-125/126 (layout wireframes)</t>
        </is>
      </c>
      <c r="M4" s="84" t="inlineStr">
        <is>
          <t>Betting-critical: users making financial decisions must know the age and reliability of displayed data.</t>
        </is>
      </c>
    </row>
    <row r="5" ht="157.5" customHeight="1" s="47">
      <c r="A5" s="84" t="inlineStr">
        <is>
          <t>SIM-131</t>
        </is>
      </c>
      <c r="B5" s="84" t="inlineStr">
        <is>
          <t>Define WebSocket live update state machine and play-by-play virtualization requirements</t>
        </is>
      </c>
      <c r="C5" s="84" t="inlineStr">
        <is>
          <t>Frontend</t>
        </is>
      </c>
      <c r="D5" s="84" t="inlineStr">
        <is>
          <t>Gap</t>
        </is>
      </c>
      <c r="E5" s="85" t="inlineStr">
        <is>
          <t>P1</t>
        </is>
      </c>
      <c r="F5" s="84" t="inlineStr">
        <is>
          <t>M (3–5 days)</t>
        </is>
      </c>
      <c r="G5" s="84" t="inlineStr">
        <is>
          <t>UX Designer + Backend Developer</t>
        </is>
      </c>
      <c r="H5" s="87" t="inlineStr">
        <is>
          <t>Open</t>
        </is>
      </c>
      <c r="I5" s="84" t="inlineStr">
        <is>
          <t>No</t>
        </is>
      </c>
      <c r="J5" s="84" t="inlineStr">
        <is>
          <t>No spec defines what happens to page state when live WebSocket updates arrive while the user is viewing a historical play. The play-by-play list has no virtualization spec. A 9-inning game with 400+ list items has rendering performance issues without virtual scrolling.</t>
        </is>
      </c>
      <c r="K5" s="84" t="inlineStr">
        <is>
          <t>1. Live update state machine: (a) if user in replay mode, live updates refresh background state silently — show 'New play: [desc]' badge on play-by-play tab; (b) WS disconnect shows amber connection dot in header, auto-reconnects with exponential backoff (2s base, 60s cap); (c) if override active when resim_pending arrives, auto-resim is suppressed — override re-runs on post-PA live state; (d) game Final transition → animated card state change.
2. Play-by-play virtualization: virtual scrolling, render only visible rows + 10-item overscan. Target: smooth 60fps with 400+ items.
3. Live scroll behavior: 'Jump to live ↓' button appears when scrolled above most recent play. Auto-scroll to new plays only when already at the bottom.</t>
        </is>
      </c>
      <c r="L5" s="84" t="inlineStr">
        <is>
          <t>SIM-109 (WS channel architecture), SIM-126 (Game Page layout)</t>
        </is>
      </c>
      <c r="M5" s="84" t="inlineStr">
        <is>
          <t>Required for Phase 6 Steps 6.3 and 6.4 correctness. WS state machine spec must precede implementation.</t>
        </is>
      </c>
    </row>
    <row r="6" ht="168.75" customHeight="1" s="47">
      <c r="A6" s="84" t="inlineStr">
        <is>
          <t>SIM-129</t>
        </is>
      </c>
      <c r="B6" s="84" t="inlineStr">
        <is>
          <t>Add distribution views to ScoreDistributionChart and ProjectedBoxscore — averages lose prop signal</t>
        </is>
      </c>
      <c r="C6" s="84" t="inlineStr">
        <is>
          <t>Frontend</t>
        </is>
      </c>
      <c r="D6" s="84" t="inlineStr">
        <is>
          <t>Improvement</t>
        </is>
      </c>
      <c r="E6" s="85" t="inlineStr">
        <is>
          <t>P1</t>
        </is>
      </c>
      <c r="F6" s="84" t="inlineStr">
        <is>
          <t>M (3–5 days)</t>
        </is>
      </c>
      <c r="G6" s="84" t="inlineStr">
        <is>
          <t>UX Designer + Betting Analyst</t>
        </is>
      </c>
      <c r="H6" s="87" t="inlineStr">
        <is>
          <t>Open</t>
        </is>
      </c>
      <c r="I6" s="84" t="inlineStr">
        <is>
          <t>No</t>
        </is>
      </c>
      <c r="J6" s="84" t="inlineStr">
        <is>
          <t>ScoreDistributionChart shows independent run totals for each team — the joint outcome distribution (who beats whom by how much) is hidden. ProjectedBoxscore shows averages only — for prop betting the distribution is what matters. A pitcher projected at avg 6.2 Ks with range 3-9 has different prop implications than 6.2 Ks with range 5-7.</t>
        </is>
      </c>
      <c r="K6" s="84" t="inlineStr">
        <is>
          <t>1. ScoreDistributionChart — three modes toggled via tab control: (a) Home runs histogram; (b) Away runs histogram; (c) Run Differential histogram (-15 to +15, negative=away wins). Betting Analyst confirms if total runs (for o/u) replaces one.
2. ProjectedBoxscore — distribution display for prop market stats: '6.2 (5–8)' format (avg, p25-p75) for pitcher Ks, batter hits, batter HR. Computed from per-iteration raw lists (SIM-112 extension). Average-only for non-prop stats (AB, RBI, IP, ER).
3. Prop line comparison (Betting Analyst approval required): active prop line shown as vertical marker on distribution; % of simulations above = implied over probability.
4. RBI column: average only, no distribution, tooltip: 'RBI props require lineup context — use with caution.'</t>
        </is>
      </c>
      <c r="L6" s="84" t="inlineStr">
        <is>
          <t>SIM-112 (raw per-iteration lists), SIM-124 (Betting Analyst input on distribution display)</t>
        </is>
      </c>
      <c r="M6" s="84" t="inlineStr">
        <is>
          <t>The core CLV display feature — this is how the platform's prop predictions are validated against markets.</t>
        </is>
      </c>
    </row>
  </sheetData>
  <autoFilter ref="A1:M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M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71484375" defaultRowHeight="15" customHeight="0" zeroHeight="0" outlineLevelRow="0"/>
  <cols>
    <col width="11" customWidth="1" style="46" min="1" max="1"/>
    <col width="50" customWidth="1" style="46" min="2" max="2"/>
    <col width="18" customWidth="1" style="46" min="3" max="3"/>
    <col width="16" customWidth="1" style="46" min="4" max="4"/>
    <col width="10" customWidth="1" style="46" min="5" max="5"/>
    <col width="18" customWidth="1" style="46" min="6" max="6"/>
    <col width="32" customWidth="1" style="46" min="7" max="7"/>
    <col width="12" customWidth="1" style="46" min="8" max="8"/>
    <col width="9" customWidth="1" style="46" min="9" max="9"/>
    <col width="50" customWidth="1" style="46" min="10" max="11"/>
    <col width="30" customWidth="1" style="46" min="12" max="12"/>
    <col width="35" customWidth="1" style="46" min="13" max="13"/>
  </cols>
  <sheetData>
    <row r="1" ht="30" customHeight="1" s="47">
      <c r="A1" s="83" t="inlineStr">
        <is>
          <t>Ticket ID</t>
        </is>
      </c>
      <c r="B1" s="83" t="inlineStr">
        <is>
          <t>Title</t>
        </is>
      </c>
      <c r="C1" s="83" t="inlineStr">
        <is>
          <t>Category</t>
        </is>
      </c>
      <c r="D1" s="83" t="inlineStr">
        <is>
          <t>Type</t>
        </is>
      </c>
      <c r="E1" s="83" t="inlineStr">
        <is>
          <t>Priority</t>
        </is>
      </c>
      <c r="F1" s="83" t="inlineStr">
        <is>
          <t>Size</t>
        </is>
      </c>
      <c r="G1" s="83" t="inlineStr">
        <is>
          <t>Assignee Role</t>
        </is>
      </c>
      <c r="H1" s="83" t="inlineStr">
        <is>
          <t>Status</t>
        </is>
      </c>
      <c r="I1" s="83" t="inlineStr">
        <is>
          <t>Blocked</t>
        </is>
      </c>
      <c r="J1" s="83" t="inlineStr">
        <is>
          <t>Description/Problem Statement</t>
        </is>
      </c>
      <c r="K1" s="83" t="inlineStr">
        <is>
          <t>Acceptance Criteria</t>
        </is>
      </c>
      <c r="L1" s="83" t="inlineStr">
        <is>
          <t>Dependencies</t>
        </is>
      </c>
      <c r="M1" s="83" t="inlineStr">
        <is>
          <t>Notes/Rationale</t>
        </is>
      </c>
    </row>
  </sheetData>
  <autoFilter ref="A1:M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M26"/>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71484375" defaultRowHeight="15" customHeight="0" zeroHeight="0" outlineLevelRow="0"/>
  <cols>
    <col width="11" customWidth="1" style="46" min="1" max="1"/>
    <col width="50" customWidth="1" style="46" min="2" max="2"/>
    <col width="18" customWidth="1" style="46" min="3" max="3"/>
    <col width="16" customWidth="1" style="46" min="4" max="4"/>
    <col width="10" customWidth="1" style="46" min="5" max="5"/>
    <col width="18" customWidth="1" style="46" min="6" max="6"/>
    <col width="32" customWidth="1" style="46" min="7" max="7"/>
    <col width="12" customWidth="1" style="46" min="8" max="8"/>
    <col width="9" customWidth="1" style="46" min="9" max="9"/>
    <col width="50" customWidth="1" style="46" min="10" max="11"/>
    <col width="30" customWidth="1" style="46" min="12" max="12"/>
    <col width="35" customWidth="1" style="46" min="13" max="13"/>
  </cols>
  <sheetData>
    <row r="1" ht="30" customHeight="1" s="47">
      <c r="A1" s="83" t="inlineStr">
        <is>
          <t>Ticket ID</t>
        </is>
      </c>
      <c r="B1" s="83" t="inlineStr">
        <is>
          <t>Title</t>
        </is>
      </c>
      <c r="C1" s="83" t="inlineStr">
        <is>
          <t>Category</t>
        </is>
      </c>
      <c r="D1" s="83" t="inlineStr">
        <is>
          <t>Type</t>
        </is>
      </c>
      <c r="E1" s="83" t="inlineStr">
        <is>
          <t>Priority</t>
        </is>
      </c>
      <c r="F1" s="83" t="inlineStr">
        <is>
          <t>Size</t>
        </is>
      </c>
      <c r="G1" s="83" t="inlineStr">
        <is>
          <t>Assignee Role</t>
        </is>
      </c>
      <c r="H1" s="83" t="inlineStr">
        <is>
          <t>Status</t>
        </is>
      </c>
      <c r="I1" s="83" t="inlineStr">
        <is>
          <t>Blocked</t>
        </is>
      </c>
      <c r="J1" s="83" t="inlineStr">
        <is>
          <t>Description/Problem Statement</t>
        </is>
      </c>
      <c r="K1" s="83" t="inlineStr">
        <is>
          <t>Acceptance Criteria</t>
        </is>
      </c>
      <c r="L1" s="83" t="inlineStr">
        <is>
          <t>Dependencies</t>
        </is>
      </c>
      <c r="M1" s="83" t="inlineStr">
        <is>
          <t>Notes/Rationale</t>
        </is>
      </c>
    </row>
    <row r="2" ht="135.75" customHeight="1" s="47">
      <c r="A2" s="84" t="inlineStr">
        <is>
          <t>SIM-152</t>
        </is>
      </c>
      <c r="B2" s="84" t="inlineStr">
        <is>
          <t>Create tests/conftest.py with shared fixtures — eliminate 3× duplicated profile builders</t>
        </is>
      </c>
      <c r="C2" s="84" t="inlineStr">
        <is>
          <t>Testing</t>
        </is>
      </c>
      <c r="D2" s="84" t="inlineStr">
        <is>
          <t>Improvement</t>
        </is>
      </c>
      <c r="E2" s="88" t="inlineStr">
        <is>
          <t>P2</t>
        </is>
      </c>
      <c r="F2" s="84" t="inlineStr">
        <is>
          <t>S (1–2 days)</t>
        </is>
      </c>
      <c r="G2" s="84" t="inlineStr">
        <is>
          <t>QA/DevOps</t>
        </is>
      </c>
      <c r="H2" s="87" t="inlineStr">
        <is>
          <t>Open</t>
        </is>
      </c>
      <c r="I2" s="84" t="inlineStr">
        <is>
          <t>No</t>
        </is>
      </c>
      <c r="J2" s="84" t="inlineStr">
        <is>
          <t>Each of the three similarity test files re-implements its own _make_profile(), _make_gmm(), _build_synthetic_engine() helpers. No conftest.py exists at any level of the test tree. When new engines are added (catcher, pitcher-steal), developers must read all files and re-implement from scratch.</t>
        </is>
      </c>
      <c r="K2" s="84" t="inlineStr">
        <is>
          <t>1. Create tests/conftest.py with session-scoped fixtures for all built engines.
2. Create tests/unit/conftest.py with __new__ bypass pattern documented as the project-standard constructor bypass (one canonical implementation).
3. Refactor test_pitcher_similarity.py, test_batter_similarity.py, test_fielder_similarity.py to import from conftest (setup drops from ~100 to ~10 lines).
4. test_baserunner_similarity.py (SIM-149) and test_live_ingestion_pipeline.py (SIM-107) must use conftest fixtures — do not introduce more independent implementations.</t>
        </is>
      </c>
      <c r="L2" s="84" t="inlineStr">
        <is>
          <t>SIM-147 (pyproject.toml), SIM-071 (import paths)</t>
        </is>
      </c>
      <c r="M2" s="84" t="inlineStr">
        <is>
          <t>Maintenance improvement — the pattern is correct, it just needs to be centralized.</t>
        </is>
      </c>
    </row>
    <row r="3" ht="113.25" customHeight="1" s="47">
      <c r="A3" s="84" t="inlineStr">
        <is>
          <t>SIM-154</t>
        </is>
      </c>
      <c r="B3" s="84" t="inlineStr">
        <is>
          <t>Add model regression gate to CI — run diagnostics on every PR; fail on calibration drift</t>
        </is>
      </c>
      <c r="C3" s="84" t="inlineStr">
        <is>
          <t>Testing</t>
        </is>
      </c>
      <c r="D3" s="84" t="inlineStr">
        <is>
          <t>Gap</t>
        </is>
      </c>
      <c r="E3" s="85" t="inlineStr">
        <is>
          <t>P1</t>
        </is>
      </c>
      <c r="F3" s="84" t="inlineStr">
        <is>
          <t>S (1–2 days)</t>
        </is>
      </c>
      <c r="G3" s="84" t="inlineStr">
        <is>
          <t>QA/DevOps</t>
        </is>
      </c>
      <c r="H3" s="87" t="inlineStr">
        <is>
          <t>Open</t>
        </is>
      </c>
      <c r="I3" s="84" t="inlineStr">
        <is>
          <t>No</t>
        </is>
      </c>
      <c r="J3" s="84" t="inlineStr">
        <is>
          <t>similarity_diagnostics.py already exits with code 1 on diagnostic flags — it just needs to be wired into CI. When SIM-072 (pitcher RBF upgrade) or SIM-073 (EB_N_PRIOR change) shift engine score distributions, this gate catches any unexpected drift immediately on the PR.</t>
        </is>
      </c>
      <c r="K3" s="84" t="inlineStr">
        <is>
          <t>1. Add CI Job 3 (from SIM-146): on PR to main, run 'python similarity/similarity_diagnostics.py'; fail if exit code != 0.
2. Add --json-report tests/regression/latest_diagnostics.json flag to diagnostics CLI.
3. After each clean run, update tests/regression/engine_baselines.json.
4. CI fails if any engine median score shifts &gt; ±0.05 from baseline OR n_flags increases.
5. Prerequisites: SIM-050 (fielder diagnostics merged into CLI) must be complete.</t>
        </is>
      </c>
      <c r="L3" s="84" t="inlineStr">
        <is>
          <t>SIM-050 (fielder diagnostics merged), SIM-146 (CI exists), SIM-147 (pytest config)</t>
        </is>
      </c>
      <c r="M3" s="84" t="inlineStr">
        <is>
          <t>Prevents the most expensive class of bugs — silent calibration drift from engine changes.</t>
        </is>
      </c>
    </row>
    <row r="4" ht="157.5" customHeight="1" s="47">
      <c r="A4" s="84" t="inlineStr">
        <is>
          <t>SIM-130</t>
        </is>
      </c>
      <c r="B4" s="84" t="inlineStr">
        <is>
          <t>Spec additions for Day Summary page: card lineup collapse, field graphic label rules, date navigation zones</t>
        </is>
      </c>
      <c r="C4" s="84" t="inlineStr">
        <is>
          <t>Frontend</t>
        </is>
      </c>
      <c r="D4" s="84" t="inlineStr">
        <is>
          <t>Bug</t>
        </is>
      </c>
      <c r="E4" s="85" t="inlineStr">
        <is>
          <t>P1</t>
        </is>
      </c>
      <c r="F4" s="84" t="inlineStr">
        <is>
          <t>M (3–5 days)</t>
        </is>
      </c>
      <c r="G4" s="84" t="inlineStr">
        <is>
          <t>UX Designer</t>
        </is>
      </c>
      <c r="H4" s="87" t="inlineStr">
        <is>
          <t>Open</t>
        </is>
      </c>
      <c r="I4" s="84" t="inlineStr">
        <is>
          <t>No</t>
        </is>
      </c>
      <c r="J4" s="84" t="inlineStr">
        <is>
          <t>Three spec gaps in the Day Summary page: (1) the in-progress card with two full lineups is physically unrenderable as a card; (2) the field graphic has no label collision rules or vacancy handling; (3) date navigation has no backward limit or historical mode definition.</t>
        </is>
      </c>
      <c r="K4" s="84" t="inlineStr">
        <is>
          <t>1. In-progress card lineup collapse: lineup panels collapsed behind 'Show Lineups ↓' toggle (default collapsed on Day Summary); expanded by default on Game Page.
2. Field graphic label rules: last name only (max 12 chars, truncated with ellipsis); minimum bounding box per position (infield 80px×20px, outfield 100px×20px); vacant positions show grey silhouette + 'TBD'; accepts actual fielder positions from game state (not fixed icons).
3. Date navigation zones: LIVE (today — full sim + odds); RECENT_HISTORY (yesterday → season start — sim available, odds 'N/A'); HISTORICAL (prior seasons — sim available, odds 'N/A', read-only). Disable navigation past MIN_NAVIGATION_DATE env var (default 2022-04-07). Date picker visually distinguishes the three zones.</t>
        </is>
      </c>
      <c r="L4" s="84" t="inlineStr">
        <is>
          <t>SIM-125 (mobile wireframes), SIM-126 (Game Page layout)</t>
        </is>
      </c>
      <c r="M4" s="84" t="inlineStr">
        <is>
          <t>Spec additions for Phase 6 Steps 6.2 and 6.3 — required before those steps begin implementation.</t>
        </is>
      </c>
    </row>
    <row r="5" ht="124.5" customHeight="1" s="47">
      <c r="A5" s="84" t="inlineStr">
        <is>
          <t>SIM-142</t>
        </is>
      </c>
      <c r="B5" s="84" t="inlineStr">
        <is>
          <t>Spec live betting edge detection — live line ingestion, live edge threshold, WS signal delivery</t>
        </is>
      </c>
      <c r="C5" s="84" t="inlineStr">
        <is>
          <t>Betting Infrastructure</t>
        </is>
      </c>
      <c r="D5" s="84" t="inlineStr">
        <is>
          <t>Gap</t>
        </is>
      </c>
      <c r="E5" s="88" t="inlineStr">
        <is>
          <t>P2</t>
        </is>
      </c>
      <c r="F5" s="84" t="inlineStr">
        <is>
          <t>S (1–2 days)</t>
        </is>
      </c>
      <c r="G5" s="84" t="inlineStr">
        <is>
          <t>Betting Analyst</t>
        </is>
      </c>
      <c r="H5" s="87" t="inlineStr">
        <is>
          <t>Open</t>
        </is>
      </c>
      <c r="I5" s="84" t="inlineStr">
        <is>
          <t>No</t>
        </is>
      </c>
      <c r="J5" s="84" t="inlineStr">
        <is>
          <t>The live simulation (post-PA resim) is uniquely positioned to identify mispriced live lines immediately after significant plays before books adjust. This ticket produces a written spec — not implemented code. Implementation is Phase 7.</t>
        </is>
      </c>
      <c r="K5" s="84" t="inlineStr">
        <is>
          <t>1. Spec deliverable only — written design document, not implemented code.
2. Covers: (a) live line ingestion cadence (fetch after each PA resim); (b) live edge threshold 4% minimum (tighter than 5% pre-game); (c) signal delivery via WS: {type: 'live_edge_signal', edge_pct, side, ml_available}; (d) raw.game_odds impact: live lines stored as line_type='current', no new columns.
3. Sequence: validate pre-game CLV first (SIM-136/SIM-144), then add live edge. Live markets are more efficient; if sim can't beat the pre-game market it cannot beat the live market.</t>
        </is>
      </c>
      <c r="L5" s="84" t="inlineStr">
        <is>
          <t>SIM-136 (pre-game CLV must be validated before live edge is attempted)</t>
        </is>
      </c>
      <c r="M5" s="84" t="inlineStr">
        <is>
          <t>Spec only for Phase 7. Live betting is lower priority than validating pre-game edge first.</t>
        </is>
      </c>
    </row>
    <row r="6" ht="135.75" customHeight="1" s="47">
      <c r="A6" s="84" t="inlineStr">
        <is>
          <t>SIM-143</t>
        </is>
      </c>
      <c r="B6" s="84" t="inlineStr">
        <is>
          <t>CLV dashboard API endpoint: GET /api/betting/clv/summary with segment breakdown</t>
        </is>
      </c>
      <c r="C6" s="84" t="inlineStr">
        <is>
          <t>Betting Infrastructure</t>
        </is>
      </c>
      <c r="D6" s="84" t="inlineStr">
        <is>
          <t>Feature</t>
        </is>
      </c>
      <c r="E6" s="85" t="inlineStr">
        <is>
          <t>P1</t>
        </is>
      </c>
      <c r="F6" s="84" t="inlineStr">
        <is>
          <t>M (3–5 days)</t>
        </is>
      </c>
      <c r="G6" s="84" t="inlineStr">
        <is>
          <t>Backend Developer + Betting Analyst</t>
        </is>
      </c>
      <c r="H6" s="87" t="inlineStr">
        <is>
          <t>Open</t>
        </is>
      </c>
      <c r="I6" s="84" t="inlineStr">
        <is>
          <t>No</t>
        </is>
      </c>
      <c r="J6" s="84" t="inlineStr">
        <is>
          <t>The CLV dashboard is how the platform measures whether it's actually working. Without it, there is no operational visibility into simulation edge quality. This endpoint is the primary instrument panel for validating and monitoring the platform's primary use case.</t>
        </is>
      </c>
      <c r="K6" s="84" t="inlineStr">
        <is>
          <t>1. GET /api/betting/clv/summary accepts: start_date, end_date, market_type, min_signal_reliability query params.
2. Returns: mean_clv, sample_size, win_rate, roi_pct, by_market_type (moneyline/runline/total/prop), by_signal_reliability (LOW/MEDIUM/HIGH), by_prop_stat (strikeouts/hits/home_runs).
3. Each segment: mean_clv, sample_size, win_rate, ECE. Segments with sample_size &lt; 30 return null values with 'insufficient_sample: true'.
4. GET /api/betting/clv/signals: recent bet_log entries for live monitoring.
5. Both endpoints use the standard error envelope (SIM-109).</t>
        </is>
      </c>
      <c r="L6" s="84" t="inlineStr">
        <is>
          <t>SIM-135 (bet_log table), SIM-136 (CLV computation), SIM-109 (API structure)</t>
        </is>
      </c>
      <c r="M6" s="84" t="inlineStr">
        <is>
          <t>This endpoint makes CLV measurable operationally, not just in backtesting.</t>
        </is>
      </c>
    </row>
    <row r="7" ht="191.25" customHeight="1" s="47">
      <c r="A7" s="84" t="inlineStr">
        <is>
          <t>SIM-107</t>
        </is>
      </c>
      <c r="B7" s="84" t="inlineStr">
        <is>
          <t>Create tests/unit/test_live_ingestion_pipeline.py — 7 BE bugs, 0% coverage</t>
        </is>
      </c>
      <c r="C7" s="84" t="inlineStr">
        <is>
          <t>Testing</t>
        </is>
      </c>
      <c r="D7" s="84" t="inlineStr">
        <is>
          <t>Bug</t>
        </is>
      </c>
      <c r="E7" s="85" t="inlineStr">
        <is>
          <t>P1</t>
        </is>
      </c>
      <c r="F7" s="84" t="inlineStr">
        <is>
          <t>M (3–5 days)</t>
        </is>
      </c>
      <c r="G7" s="84" t="inlineStr">
        <is>
          <t>Backend Developer + QA/DevOps</t>
        </is>
      </c>
      <c r="H7" s="87" t="inlineStr">
        <is>
          <t>Open</t>
        </is>
      </c>
      <c r="I7" s="84" t="inlineStr">
        <is>
          <t>No</t>
        </is>
      </c>
      <c r="J7" s="84" t="inlineStr">
        <is>
          <t>live_ingestion_pipeline.py has zero test coverage. The BE audit found 7 bugs in this file. All 7 would be caught by basic unit tests. The component handles live game state during MLB games — bugs manifest during production use with no test safety net. All prior BE bug fixes (SIM-099, SIM-100, SIM-101, SIM-102, SIM-103) need permanent regression coverage.</t>
        </is>
      </c>
      <c r="K7" s="84" t="inlineStr">
        <is>
          <t>1. GameStateBuilder.build() with fixture feed dict: assert all required JSONB keys present; assert current_pitcher_id from matchup dict (not offense dict).
2. _infer_role(): parametrize SP (5.1IP), Opener (0.2IP, 10BF), MRP (1.1IP), RP.
3. _should_resimulate(): isComplete=True → True; duplicate at_bat guard → False; non-Live status → False.
4. ConnectionManager.broadcast(): dead connection cleanup; no RuntimeError when disconnect fires during send.
5. _get_days_rest() batch: 12 bullpen pitchers → exactly 1 DB query.
6. Redis key regression: key written by _cache_to_redis() == key read by fallback.
7. Hypothesis property test: random valid feed dict → always produces all required keys.
8. Use AsyncMock for all asyncpg calls; pytest.mark.asyncio. Minimum 40 tests.</t>
        </is>
      </c>
      <c r="L7" s="84" t="inlineStr">
        <is>
          <t>SIM-099, SIM-100, SIM-101, SIM-102, SIM-103 (bugs fixed first), SIM-152 (conftest)</t>
        </is>
      </c>
      <c r="M7" s="84" t="inlineStr">
        <is>
          <t>Most complex component in Phase 2 scope with zero coverage — highest testing priority.</t>
        </is>
      </c>
    </row>
    <row r="8" ht="191.25" customHeight="1" s="47">
      <c r="A8" s="84" t="inlineStr">
        <is>
          <t>SIM-141</t>
        </is>
      </c>
      <c r="B8" s="84" t="inlineStr">
        <is>
          <t>Create betting/vig_removal.py — define multiplicative vig removal as the platform standard</t>
        </is>
      </c>
      <c r="C8" s="84" t="inlineStr">
        <is>
          <t>Betting Infrastructure</t>
        </is>
      </c>
      <c r="D8" s="84" t="inlineStr">
        <is>
          <t>Gap</t>
        </is>
      </c>
      <c r="E8" s="85" t="inlineStr">
        <is>
          <t>P1</t>
        </is>
      </c>
      <c r="F8" s="84" t="inlineStr">
        <is>
          <t>S (&lt; 1 day)</t>
        </is>
      </c>
      <c r="G8" s="84" t="inlineStr">
        <is>
          <t>Betting Analyst + Backend Developer</t>
        </is>
      </c>
      <c r="H8" s="87" t="inlineStr">
        <is>
          <t>Open</t>
        </is>
      </c>
      <c r="I8" s="84" t="inlineStr">
        <is>
          <t>No</t>
        </is>
      </c>
      <c r="J8" s="84" t="inlineStr">
        <is>
          <t>Three components of the platform compute implied probability from American odds: edge calculation in SimulationResults, CLV computation in bet_log, and the OddsDisplay frontend component (via backend). Without a shared utility, each will implement a different vig removal method, producing inconsistent edge signals.</t>
        </is>
      </c>
      <c r="K8" s="84" t="inlineStr">
        <is>
          <t>1. Create betting/vig_removal.py with: remove_vig_multiplicative(home_ml: int, away_ml: int) → tuple[float, float]. Implementation: convert both to raw implied probs, divide each by sum to normalize. Example: -130/+110 → (0.565, 0.476) → sum 1.041 → vig-removed (0.543, 0.457).
2. Add remove_vig_shin() as documented alternative for heavy favourites (&gt;-200).
3. Add american_to_implied(ml: int) → float (raw, no vig removal).
4. Add implied_to_american(prob: float) → int.
5. This module imported by: betting/clv.py, betting/signal.py, simulation API endpoint (edge fields), MockOddsAPI vig calculation.
6. Unit tests: multiplicative removal produces probs summing to exactly 1.0; Shin produces lower implied prob for heavy favourites than multiplicative.</t>
        </is>
      </c>
      <c r="L8" s="84" t="inlineStr">
        <is>
          <t>None</t>
        </is>
      </c>
      <c r="M8" s="84" t="inlineStr">
        <is>
          <t>Foundational utility — must exist before CLV framework (SIM-136) or edge fields (SIM-112) are implemented.</t>
        </is>
      </c>
    </row>
    <row r="9" ht="157.5" customHeight="1" s="47">
      <c r="A9" s="84" t="inlineStr">
        <is>
          <t>SIM-139</t>
        </is>
      </c>
      <c r="B9" s="84" t="inlineStr">
        <is>
          <t>Define real odds integration spec: provider, cadence, multi-book hierarchy, prop timing</t>
        </is>
      </c>
      <c r="C9" s="84" t="inlineStr">
        <is>
          <t>Betting Infrastructure</t>
        </is>
      </c>
      <c r="D9" s="84" t="inlineStr">
        <is>
          <t>Gap</t>
        </is>
      </c>
      <c r="E9" s="85" t="inlineStr">
        <is>
          <t>P1</t>
        </is>
      </c>
      <c r="F9" s="84" t="inlineStr">
        <is>
          <t>M (3–5 days)</t>
        </is>
      </c>
      <c r="G9" s="84" t="inlineStr">
        <is>
          <t>Betting Analyst + Data Engineer</t>
        </is>
      </c>
      <c r="H9" s="87" t="inlineStr">
        <is>
          <t>Open</t>
        </is>
      </c>
      <c r="I9" s="84" t="inlineStr">
        <is>
          <t>No</t>
        </is>
      </c>
      <c r="J9" s="84" t="inlineStr">
        <is>
          <t>Phase 7 says 'swap in a real odds provider' with no spec for which provider, cadence, or multi-book methodology. Without this spec in Phase 5, the schema and ingestion architecture won't support CLV measurement when Phase 7 arrives.</t>
        </is>
      </c>
      <c r="K9" s="84" t="inlineStr">
        <is>
          <t>1. Provider recommendation: The Odds API (supports MLB moneylines, run lines, totals, player props; historical odds; multi-book including Pinnacle).
2. Ingestion cadence: opening line at T-6 days (SIM-138); hourly T-24h to T-3h; 5-minute T-3h to T-30min; 1-minute T-30min to first pitch.
3. Multi-book hierarchy: CLV benchmark = Pinnacle (sharpest closing line); edge calculation uses Pinnacle-equivalent implied probability as denominator; is_sharp_book=True for Pinnacle rows.
4. Prop line timing: pitcher props T-2h; batter props T-1h; SGP T-30min.
5. This spec reviewed by Betting Analyst and PM before Phase 7 integration begins.</t>
        </is>
      </c>
      <c r="L9" s="84" t="inlineStr">
        <is>
          <t>SIM-133 (book and line_type columns), SIM-134 (raw.prop_odds table)</t>
        </is>
      </c>
      <c r="M9" s="84" t="inlineStr">
        <is>
          <t>The 'replace one function' comment in live_ingestion_pipeline.py will produce a broken CLV system without this spec.</t>
        </is>
      </c>
    </row>
    <row r="10" ht="157.5" customHeight="1" s="47">
      <c r="A10" s="84" t="inlineStr">
        <is>
          <t>SIM-151</t>
        </is>
      </c>
      <c r="B10" s="84" t="inlineStr">
        <is>
          <t>Add error-path tests to ETL test suite — 163 existing tests are all happy-path</t>
        </is>
      </c>
      <c r="C10" s="84" t="inlineStr">
        <is>
          <t>Testing</t>
        </is>
      </c>
      <c r="D10" s="84" t="inlineStr">
        <is>
          <t>Bug</t>
        </is>
      </c>
      <c r="E10" s="85" t="inlineStr">
        <is>
          <t>P1</t>
        </is>
      </c>
      <c r="F10" s="84" t="inlineStr">
        <is>
          <t>M (3–5 days)</t>
        </is>
      </c>
      <c r="G10" s="84" t="inlineStr">
        <is>
          <t>Data Engineer + QA/DevOps</t>
        </is>
      </c>
      <c r="H10" s="87" t="inlineStr">
        <is>
          <t>Open</t>
        </is>
      </c>
      <c r="I10" s="84" t="inlineStr">
        <is>
          <t>No</t>
        </is>
      </c>
      <c r="J10" s="84" t="inlineStr">
        <is>
          <t>163 pipeline tests cover correct data going in correctly. Zero tests cover incorrect or edge-case data being handled correctly. The DE audit found 8 bugs — none are covered. Tests use testcontainers[postgres] for the PostgreSQL-dependent cases so FK constraints and trigger behavior are tested against real PostgreSQL.</t>
        </is>
      </c>
      <c r="K10" s="84" t="inlineStr">
        <is>
          <t>1. Regression SIM-087: 48 mph pitch → data_quality_flag=FALSE.
2. Regression SIM-083: HistoricalDataLoader init → raw.etl_data_freshness exists.
3. Regression SIM-086: game with missing venue → no FK violation raised, game_pk appears in raw.games with venue_id=NULL.
4. Regression SIM-092: identical odds inserted twice → only one row in raw.game_odds.
5. Mark testcontainer-based tests with @pytest.mark.integration so 'pytest tests/unit/' (fast) still works independently.
6. Add to CI weekly integration job (not per-commit — testcontainer startup adds ~30s).</t>
        </is>
      </c>
      <c r="L10" s="84" t="inlineStr">
        <is>
          <t>SIM-082, SIM-083, SIM-086, SIM-087, SIM-092 (bugs fixed first)</t>
        </is>
      </c>
      <c r="M10" s="84" t="inlineStr">
        <is>
          <t>Error-path tests are where production systems fail — these must exist.</t>
        </is>
      </c>
    </row>
    <row r="11" ht="135.75" customHeight="1" s="47">
      <c r="A11" s="84" t="inlineStr">
        <is>
          <t>SIM-149</t>
        </is>
      </c>
      <c r="B11" s="84" t="inlineStr">
        <is>
          <t>Create tests/unit/test_baserunner_similarity.py — engine marked complete but untested</t>
        </is>
      </c>
      <c r="C11" s="84" t="inlineStr">
        <is>
          <t>Testing</t>
        </is>
      </c>
      <c r="D11" s="84" t="inlineStr">
        <is>
          <t>Bug</t>
        </is>
      </c>
      <c r="E11" s="85" t="inlineStr">
        <is>
          <t>P1</t>
        </is>
      </c>
      <c r="F11" s="84" t="inlineStr">
        <is>
          <t>M (3–5 days)</t>
        </is>
      </c>
      <c r="G11" s="84" t="inlineStr">
        <is>
          <t>ML Engineer + QA/DevOps</t>
        </is>
      </c>
      <c r="H11" s="87" t="inlineStr">
        <is>
          <t>Open</t>
        </is>
      </c>
      <c r="I11" s="84" t="inlineStr">
        <is>
          <t>No</t>
        </is>
      </c>
      <c r="J11" s="84" t="inlineStr">
        <is>
          <t>No unit test file exists for baserunner_similarity.py despite the engine being marked complete. Four known bugs have been fixed (SIM-070, SIM-077 sprint speed proxy, SIM-073 analogue for EB_N_PRIOR). None have regression coverage. Phase 2 definition of done requires a passing test file for every engine.</t>
        </is>
      </c>
      <c r="K11" s="84" t="inlineStr">
        <is>
          <t>1. Create tests/unit/test_baserunner_similarity.py using __new__ bypass pattern.
2. Test sprint speed source: measured profile differs in Speed sub-score from null profile.
3. Regression SIM-070: profile with 5 advancement opportunities loads and returns a result (not empty list).
4. Regression SIM-077: faster runner (higher sprint_speed) produces higher Speed sub-score than slower runner with identical Aggression/Success.
5. Standard suite: query symmetry, score bounds [0,1], self-exclusion, cross-season inclusion.
6. Minimum 25 tests. Add to CI phase-2-completion check.</t>
        </is>
      </c>
      <c r="L11" s="84" t="inlineStr">
        <is>
          <t>SIM-070, SIM-077 (bugs must be fixed first)</t>
        </is>
      </c>
      <c r="M11" s="84" t="inlineStr">
        <is>
          <t>Phase 2 cannot be closed without this file.</t>
        </is>
      </c>
    </row>
    <row r="12" ht="113.25" customHeight="1" s="47">
      <c r="A12" s="84" t="inlineStr">
        <is>
          <t>SIM-150</t>
        </is>
      </c>
      <c r="B12" s="84" t="inlineStr">
        <is>
          <t>Extend test_similarity_calibration.py to cover all 5 MLE calibration bugs</t>
        </is>
      </c>
      <c r="C12" s="84" t="inlineStr">
        <is>
          <t>Testing</t>
        </is>
      </c>
      <c r="D12" s="84" t="inlineStr">
        <is>
          <t>Bug</t>
        </is>
      </c>
      <c r="E12" s="85" t="inlineStr">
        <is>
          <t>P1</t>
        </is>
      </c>
      <c r="F12" s="84" t="inlineStr">
        <is>
          <t>S (1–2 days)</t>
        </is>
      </c>
      <c r="G12" s="84" t="inlineStr">
        <is>
          <t>ML Engineer + QA/DevOps</t>
        </is>
      </c>
      <c r="H12" s="87" t="inlineStr">
        <is>
          <t>Open</t>
        </is>
      </c>
      <c r="I12" s="84" t="inlineStr">
        <is>
          <t>No</t>
        </is>
      </c>
      <c r="J12" s="84" t="inlineStr">
        <is>
          <t>Current calibration tests cover the CalibrationReport data structure and the basic calibrate_sigma() happy path. None of the 5 calibration bugs found in the MLE audit (SIM-066 through SIM-069, SIM-073) have test coverage. These bugs would have been caught in code review if these tests had existed.</t>
        </is>
      </c>
      <c r="K12" s="84" t="inlineStr">
        <is>
          <t>1. Regression SIM-066: 'from similarity_calibration import calibrate_arsenal_gamma' must raise ImportError.
2. Positive SIM-066: calibrate_arsenal_scale() returns value in [3.0, 6.0] on synthetic W2 distribution with known median.
3. Regression SIM-069: mock profile with sample_pa=500 but sample_pa_vs_l=20; assert platoon EB alpha &lt; 0.2.
4. Regression SIM-073: calibrate_eb_prior() on batter-scale data (mean ~500 PA per profile) returns N_prior &gt; 50.
5. Verify CalibrationReport.arsenal_gamma field renamed to arsenal_scale.</t>
        </is>
      </c>
      <c r="L12" s="84" t="inlineStr">
        <is>
          <t>SIM-066, SIM-067, SIM-068, SIM-069, SIM-073 (bugs fixed first)</t>
        </is>
      </c>
      <c r="M12" s="84" t="inlineStr">
        <is>
          <t>Retroactive regression coverage — prevents all 5 calibration bugs from re-appearing.</t>
        </is>
      </c>
    </row>
    <row r="13" ht="168.75" customHeight="1" s="47">
      <c r="A13" s="84" t="inlineStr">
        <is>
          <t>SIM-155</t>
        </is>
      </c>
      <c r="B13" s="84" t="inlineStr">
        <is>
          <t>Create integration test suite — minimum viable ETL→profiles→engine cross-component flow</t>
        </is>
      </c>
      <c r="C13" s="84" t="inlineStr">
        <is>
          <t>Testing</t>
        </is>
      </c>
      <c r="D13" s="84" t="inlineStr">
        <is>
          <t>Gap</t>
        </is>
      </c>
      <c r="E13" s="85" t="inlineStr">
        <is>
          <t>P1</t>
        </is>
      </c>
      <c r="F13" s="84" t="inlineStr">
        <is>
          <t>L (1–2 weeks)</t>
        </is>
      </c>
      <c r="G13" s="84" t="inlineStr">
        <is>
          <t>QA/DevOps + Data Engineer</t>
        </is>
      </c>
      <c r="H13" s="87" t="inlineStr">
        <is>
          <t>Open</t>
        </is>
      </c>
      <c r="I13" s="84" t="inlineStr">
        <is>
          <t>No</t>
        </is>
      </c>
      <c r="J13" s="84" t="inlineStr">
        <is>
          <t>tests/integration/ is empty. Every cross-component interaction is untested. The DE audit found bugs that only manifest at integration boundaries (freshness table DDL never executed, lineup_state ON CONFLICT crash) — these require real PostgreSQL to reproduce and are missed by unit tests with mocked DB calls.</t>
        </is>
      </c>
      <c r="K13" s="84" t="inlineStr">
        <is>
          <t>1. Use testcontainers to spin up ephemeral PostgreSQL + Redis per session.
2. Test 1 — ETL to profiles: load 50 synthetic Statcast games via HistoricalDataLoader; run PlayerProfileComputor.run(seasons=[2024]); assert derived.pitcher_season_metrics has &gt;= 1 row with non-null gmm_model.
3. Test 2 — Live pipeline upsert: mock MLB API responses; run _refresh_game_state(); assert sim.lineup_state receives a row (SIM-082 e2e).
4. Test 3 — Schema migrations: apply all Alembic migrations to fresh DB; assert all expected tables exist; alembic current returns head revision.
5. All tests marked @pytest.mark.integration. Run in CI weekly and on PR to main.</t>
        </is>
      </c>
      <c r="L13" s="84" t="inlineStr">
        <is>
          <t>SIM-145 (Docker), SIM-084 (Alembic), SIM-082/083 (bugs fixed)</t>
        </is>
      </c>
      <c r="M13" s="84" t="inlineStr">
        <is>
          <t>Must be complete before Phase 3 play pool architecture builds on top of the pipeline chain.</t>
        </is>
      </c>
    </row>
    <row r="14" ht="157.5" customHeight="1" s="47">
      <c r="A14" s="84" t="inlineStr">
        <is>
          <t>SIM-156</t>
        </is>
      </c>
      <c r="B14" s="84" t="inlineStr">
        <is>
          <t>Create schema contract tests — assert engine feature names map to DuckDB schema columns</t>
        </is>
      </c>
      <c r="C14" s="84" t="inlineStr">
        <is>
          <t>Testing</t>
        </is>
      </c>
      <c r="D14" s="84" t="inlineStr">
        <is>
          <t>Gap</t>
        </is>
      </c>
      <c r="E14" s="85" t="inlineStr">
        <is>
          <t>P1</t>
        </is>
      </c>
      <c r="F14" s="84" t="inlineStr">
        <is>
          <t>S (1–2 days)</t>
        </is>
      </c>
      <c r="G14" s="84" t="inlineStr">
        <is>
          <t>QA/DevOps + Data Engineer</t>
        </is>
      </c>
      <c r="H14" s="87" t="inlineStr">
        <is>
          <t>Open</t>
        </is>
      </c>
      <c r="I14" s="84" t="inlineStr">
        <is>
          <t>No</t>
        </is>
      </c>
      <c r="J14" s="84" t="inlineStr">
        <is>
          <t>No tests verify that the DuckDB schema columns the profile computor writes match the feature list each engine expects to read. The barrel_rate/avg_launch_angle gap and the catcher schema gaps would both be caught by static schema contract tests. These are fast tests requiring no database — just DDL parsing and engine introspection.</t>
        </is>
      </c>
      <c r="K14" s="84" t="inlineStr">
        <is>
          <t>1. Create tests/unit/test_schema_contracts.py.
2. Load 02_duckdb_schema.sql as a string; extract column names for each derived.* table using CREATE TABLE block parsing.
3. For each engine, assert all feature names exist as columns in the corresponding derived.* table: batter features → batter_season_metrics, pitcher features → pitcher_season_metrics, fielder → fielder_season_metrics, baserunner → baserunner_season_metrics.
4. Tests are static (no DB required) and must run in &lt; 1 second.
5. These tests catch: future feature added to engine but not to profile computor, column renamed in schema but not in engine, new barrel_rate-style gaps.</t>
        </is>
      </c>
      <c r="L14" s="84" t="inlineStr">
        <is>
          <t>SIM-071 (consistent import paths to engine feature lists), SIM-147</t>
        </is>
      </c>
      <c r="M14" s="84" t="inlineStr">
        <is>
          <t>Static tests — extremely cheap to run and catch an entire class of subtle bugs.</t>
        </is>
      </c>
    </row>
    <row r="15" ht="157.5" customHeight="1" s="47">
      <c r="A15" s="84" t="inlineStr">
        <is>
          <t>SIM-131</t>
        </is>
      </c>
      <c r="B15" s="84" t="inlineStr">
        <is>
          <t>Define WebSocket live update state machine and play-by-play virtualization requirements</t>
        </is>
      </c>
      <c r="C15" s="84" t="inlineStr">
        <is>
          <t>Frontend</t>
        </is>
      </c>
      <c r="D15" s="84" t="inlineStr">
        <is>
          <t>Gap</t>
        </is>
      </c>
      <c r="E15" s="85" t="inlineStr">
        <is>
          <t>P1</t>
        </is>
      </c>
      <c r="F15" s="84" t="inlineStr">
        <is>
          <t>M (3–5 days)</t>
        </is>
      </c>
      <c r="G15" s="84" t="inlineStr">
        <is>
          <t>UX Designer + Backend Developer</t>
        </is>
      </c>
      <c r="H15" s="87" t="inlineStr">
        <is>
          <t>Open</t>
        </is>
      </c>
      <c r="I15" s="84" t="inlineStr">
        <is>
          <t>No</t>
        </is>
      </c>
      <c r="J15" s="84" t="inlineStr">
        <is>
          <t>No spec defines what happens to page state when live WebSocket updates arrive while the user is viewing a historical play. The play-by-play list has no virtualization spec. A 9-inning game with 400+ list items has rendering performance issues without virtual scrolling.</t>
        </is>
      </c>
      <c r="K15" s="84" t="inlineStr">
        <is>
          <t>1. Live update state machine: (a) if user in replay mode, live updates refresh background state silently — show 'New play: [desc]' badge on play-by-play tab; (b) WS disconnect shows amber connection dot in header, auto-reconnects with exponential backoff (2s base, 60s cap); (c) if override active when resim_pending arrives, auto-resim is suppressed — override re-runs on post-PA live state; (d) game Final transition → animated card state change.
2. Play-by-play virtualization: virtual scrolling, render only visible rows + 10-item overscan. Target: smooth 60fps with 400+ items.
3. Live scroll behavior: 'Jump to live ↓' button appears when scrolled above most recent play. Auto-scroll to new plays only when already at the bottom.</t>
        </is>
      </c>
      <c r="L15" s="84" t="inlineStr">
        <is>
          <t>SIM-109 (WS channel architecture), SIM-126 (Game Page layout)</t>
        </is>
      </c>
      <c r="M15" s="84" t="inlineStr">
        <is>
          <t>Required for Phase 6 Steps 6.3 and 6.4 correctness. WS state machine spec must precede implementation.</t>
        </is>
      </c>
    </row>
    <row r="16" ht="23.25" customHeight="1" s="47">
      <c r="A16" s="84" t="inlineStr">
        <is>
          <t>SIM-132</t>
        </is>
      </c>
      <c r="B16" s="84" t="inlineStr">
        <is>
          <t>Fix MockOddsAPI Zero-Vig + resim doc</t>
        </is>
      </c>
      <c r="C16" s="84" t="inlineStr">
        <is>
          <t>Live Pipeline</t>
        </is>
      </c>
      <c r="D16" s="84" t="inlineStr">
        <is>
          <t>Bug</t>
        </is>
      </c>
      <c r="E16" s="85" t="inlineStr">
        <is>
          <t>P1</t>
        </is>
      </c>
      <c r="F16" s="84" t="inlineStr">
        <is>
          <t>S</t>
        </is>
      </c>
      <c r="G16" s="84" t="inlineStr">
        <is>
          <t>Backend Developer</t>
        </is>
      </c>
      <c r="H16" s="89" t="inlineStr">
        <is>
          <t>Closed</t>
        </is>
      </c>
      <c r="I16" s="84" t="inlineStr">
        <is>
          <t>No</t>
        </is>
      </c>
      <c r="J16" s="84" t="inlineStr">
        <is>
          <t>Implied probs summed to exactly 1.0 (no vig); architecture comment lied.</t>
        </is>
      </c>
      <c r="K16" s="84" t="inlineStr">
        <is>
          <t>vig in [0.06, 0.10]; comment fixed.</t>
        </is>
      </c>
      <c r="L16" s="84" t="inlineStr">
        <is>
          <t>None</t>
        </is>
      </c>
      <c r="M16" s="84" t="inlineStr">
        <is>
          <t>Shipped sprint 2026-05-05. SIM-096 follow-up tightens RNG floor.</t>
        </is>
      </c>
    </row>
    <row r="17" ht="23.25" customHeight="1" s="47">
      <c r="A17" s="84" t="inlineStr">
        <is>
          <t>SIM-133</t>
        </is>
      </c>
      <c r="B17" s="84" t="inlineStr">
        <is>
          <t>Extend raw.game_odds for CLV</t>
        </is>
      </c>
      <c r="C17" s="84" t="inlineStr">
        <is>
          <t>Schema / ETL</t>
        </is>
      </c>
      <c r="D17" s="84" t="inlineStr">
        <is>
          <t>Bug</t>
        </is>
      </c>
      <c r="E17" s="85" t="inlineStr">
        <is>
          <t>P1</t>
        </is>
      </c>
      <c r="F17" s="84" t="inlineStr">
        <is>
          <t>S</t>
        </is>
      </c>
      <c r="G17" s="84" t="inlineStr">
        <is>
          <t>Data Engineer</t>
        </is>
      </c>
      <c r="H17" s="89" t="inlineStr">
        <is>
          <t>Closed</t>
        </is>
      </c>
      <c r="I17" s="84" t="inlineStr">
        <is>
          <t>No</t>
        </is>
      </c>
      <c r="J17" s="84" t="inlineStr">
        <is>
          <t>No line_type / book / market_type / is_sharp_book columns.</t>
        </is>
      </c>
      <c r="K17" s="84" t="inlineStr">
        <is>
          <t>Four CLV columns added via migration 0003 (combined w/ SIM-083).</t>
        </is>
      </c>
      <c r="L17" s="84" t="inlineStr">
        <is>
          <t>SIM-084</t>
        </is>
      </c>
      <c r="M17" s="84" t="inlineStr">
        <is>
          <t>Shipped sprint 2026-05-05.</t>
        </is>
      </c>
    </row>
    <row r="18" ht="23.25" customHeight="1" s="47">
      <c r="A18" s="84" t="inlineStr">
        <is>
          <t>SIM-134</t>
        </is>
      </c>
      <c r="B18" s="84" t="inlineStr">
        <is>
          <t>raw.prop_odds CHECK + MockOddsAPI prop lines</t>
        </is>
      </c>
      <c r="C18" s="84" t="inlineStr">
        <is>
          <t>Schema / ETL</t>
        </is>
      </c>
      <c r="D18" s="84" t="inlineStr">
        <is>
          <t>Gap</t>
        </is>
      </c>
      <c r="E18" s="85" t="inlineStr">
        <is>
          <t>P1</t>
        </is>
      </c>
      <c r="F18" s="84" t="inlineStr">
        <is>
          <t>M</t>
        </is>
      </c>
      <c r="G18" s="84" t="inlineStr">
        <is>
          <t>Data Engineer + Betting Analyst</t>
        </is>
      </c>
      <c r="H18" s="89" t="inlineStr">
        <is>
          <t>Closed</t>
        </is>
      </c>
      <c r="I18" s="84" t="inlineStr">
        <is>
          <t>No</t>
        </is>
      </c>
      <c r="J18" s="84" t="inlineStr">
        <is>
          <t>prop_type had no CHECK; MockOddsAPI had no prop method.</t>
        </is>
      </c>
      <c r="K18" s="84" t="inlineStr">
        <is>
          <t>Migration 0004; 7-value CHECK; MockOddsAPI.get_prop_odds; compound index.</t>
        </is>
      </c>
      <c r="L18" s="84" t="inlineStr">
        <is>
          <t>SIM-083</t>
        </is>
      </c>
      <c r="M18" s="84" t="inlineStr">
        <is>
          <t>Shipped sprint 2026-05-05.</t>
        </is>
      </c>
    </row>
    <row r="19" ht="15" customHeight="1" s="47">
      <c r="A19" s="84" t="inlineStr">
        <is>
          <t>SIM-138</t>
        </is>
      </c>
      <c r="B19" s="84" t="inlineStr">
        <is>
          <t>Nightly Opening Line Ingestion Job</t>
        </is>
      </c>
      <c r="C19" s="84" t="inlineStr">
        <is>
          <t>Live Pipeline</t>
        </is>
      </c>
      <c r="D19" s="84" t="inlineStr">
        <is>
          <t>Gap</t>
        </is>
      </c>
      <c r="E19" s="85" t="inlineStr">
        <is>
          <t>P1</t>
        </is>
      </c>
      <c r="F19" s="84" t="inlineStr">
        <is>
          <t>S</t>
        </is>
      </c>
      <c r="G19" s="84" t="inlineStr">
        <is>
          <t>Data Engineer</t>
        </is>
      </c>
      <c r="H19" s="89" t="inlineStr">
        <is>
          <t>Closed</t>
        </is>
      </c>
      <c r="I19" s="84" t="inlineStr">
        <is>
          <t>No</t>
        </is>
      </c>
      <c r="J19" s="84" t="inlineStr">
        <is>
          <t>Opening lines lost permanently each missing day.</t>
        </is>
      </c>
      <c r="K19" s="84" t="inlineStr">
        <is>
          <t>OpeningLineJob (cron + APScheduler); 7-day lookahead.</t>
        </is>
      </c>
      <c r="L19" s="84" t="inlineStr">
        <is>
          <t>SIM-133, SIM-134</t>
        </is>
      </c>
      <c r="M19" s="84" t="inlineStr">
        <is>
          <t>Shipped sprint 2026-05-05.</t>
        </is>
      </c>
    </row>
    <row r="20" ht="23.25" customHeight="1" s="47">
      <c r="A20" s="84" t="inlineStr">
        <is>
          <t>SIM-145</t>
        </is>
      </c>
      <c r="B20" s="84" t="inlineStr">
        <is>
          <t>Docker / CI Infrastructure</t>
        </is>
      </c>
      <c r="C20" s="84" t="inlineStr">
        <is>
          <t>Infrastructure</t>
        </is>
      </c>
      <c r="D20" s="84" t="inlineStr">
        <is>
          <t>Gap</t>
        </is>
      </c>
      <c r="E20" s="85" t="inlineStr">
        <is>
          <t>P1</t>
        </is>
      </c>
      <c r="F20" s="84" t="inlineStr">
        <is>
          <t>L</t>
        </is>
      </c>
      <c r="G20" s="84" t="inlineStr">
        <is>
          <t>Data Engineer + QA/DevOps</t>
        </is>
      </c>
      <c r="H20" s="89" t="inlineStr">
        <is>
          <t>Closed</t>
        </is>
      </c>
      <c r="I20" s="84" t="inlineStr">
        <is>
          <t>No</t>
        </is>
      </c>
      <c r="J20" s="84" t="inlineStr">
        <is>
          <t>Empty requirements.txt, no Dockerfile, no integration tests.</t>
        </is>
      </c>
      <c r="K20" s="84" t="inlineStr">
        <is>
          <t>Dockerfile, docker-compose, Makefile, requirements pinned, integration tests.</t>
        </is>
      </c>
      <c r="L20" s="84" t="inlineStr">
        <is>
          <t>SIM-084</t>
        </is>
      </c>
      <c r="M20" s="84" t="inlineStr">
        <is>
          <t>Shipped sprint 2026-05-05.</t>
        </is>
      </c>
    </row>
    <row r="21" ht="23.25" customHeight="1" s="47">
      <c r="A21" s="84" t="inlineStr">
        <is>
          <t>SIM-146</t>
        </is>
      </c>
      <c r="B21" s="84" t="inlineStr">
        <is>
          <t>GitHub Actions CI Pipeline</t>
        </is>
      </c>
      <c r="C21" s="84" t="inlineStr">
        <is>
          <t>Infrastructure</t>
        </is>
      </c>
      <c r="D21" s="84" t="inlineStr">
        <is>
          <t>Feature</t>
        </is>
      </c>
      <c r="E21" s="85" t="inlineStr">
        <is>
          <t>P1</t>
        </is>
      </c>
      <c r="F21" s="84" t="inlineStr">
        <is>
          <t>M</t>
        </is>
      </c>
      <c r="G21" s="84" t="inlineStr">
        <is>
          <t>QA/DevOps</t>
        </is>
      </c>
      <c r="H21" s="89" t="inlineStr">
        <is>
          <t>Closed</t>
        </is>
      </c>
      <c r="I21" s="84" t="inlineStr">
        <is>
          <t>No</t>
        </is>
      </c>
      <c r="J21" s="84" t="inlineStr">
        <is>
          <t>No .github/workflows/; every push required manual validation.</t>
        </is>
      </c>
      <c r="K21" s="84" t="inlineStr">
        <is>
          <t>.github/workflows/ci.yml + docker-release.yml + integration-weekly.yml.</t>
        </is>
      </c>
      <c r="L21" s="84" t="inlineStr">
        <is>
          <t>SIM-145</t>
        </is>
      </c>
      <c r="M21" s="84" t="inlineStr">
        <is>
          <t>Shipped sprint 2026-05-05.</t>
        </is>
      </c>
    </row>
    <row r="22" ht="15" customHeight="1" s="47">
      <c r="A22" s="84" t="inlineStr">
        <is>
          <t>SIM-147</t>
        </is>
      </c>
      <c r="B22" s="84" t="inlineStr">
        <is>
          <t>Similarity Engine Regression Gate</t>
        </is>
      </c>
      <c r="C22" s="84" t="inlineStr">
        <is>
          <t>Testing</t>
        </is>
      </c>
      <c r="D22" s="84" t="inlineStr">
        <is>
          <t>Feature</t>
        </is>
      </c>
      <c r="E22" s="85" t="inlineStr">
        <is>
          <t>P1</t>
        </is>
      </c>
      <c r="F22" s="84" t="inlineStr">
        <is>
          <t>M</t>
        </is>
      </c>
      <c r="G22" s="84" t="inlineStr">
        <is>
          <t>QA/DevOps</t>
        </is>
      </c>
      <c r="H22" s="89" t="inlineStr">
        <is>
          <t>Closed</t>
        </is>
      </c>
      <c r="I22" s="84" t="inlineStr">
        <is>
          <t>No</t>
        </is>
      </c>
      <c r="J22" s="84" t="inlineStr">
        <is>
          <t>5 new engines had no drift-detection on CI.</t>
        </is>
      </c>
      <c r="K22" s="84" t="inlineStr">
        <is>
          <t>tests/regression/ with 54 tests across 9 classes; golden files.</t>
        </is>
      </c>
      <c r="L22" s="84" t="inlineStr">
        <is>
          <t>SIM-146</t>
        </is>
      </c>
      <c r="M22" s="84" t="inlineStr">
        <is>
          <t>Shipped sprint 2026-05-05.</t>
        </is>
      </c>
    </row>
    <row r="23" ht="34.5" customHeight="1" s="47">
      <c r="A23" s="84" t="inlineStr">
        <is>
          <t>SIM-148</t>
        </is>
      </c>
      <c r="B23" s="84" t="inlineStr">
        <is>
          <t>test_pitcher_similarity vacuous assertion + _score_pair guard</t>
        </is>
      </c>
      <c r="C23" s="84" t="inlineStr">
        <is>
          <t>Testing</t>
        </is>
      </c>
      <c r="D23" s="84" t="inlineStr">
        <is>
          <t>Bug</t>
        </is>
      </c>
      <c r="E23" s="85" t="inlineStr">
        <is>
          <t>P1</t>
        </is>
      </c>
      <c r="F23" s="84" t="inlineStr">
        <is>
          <t>S</t>
        </is>
      </c>
      <c r="G23" s="84" t="inlineStr">
        <is>
          <t>ML Engineer + QA/DevOps</t>
        </is>
      </c>
      <c r="H23" s="89" t="inlineStr">
        <is>
          <t>Closed</t>
        </is>
      </c>
      <c r="I23" s="84" t="inlineStr">
        <is>
          <t>No</t>
        </is>
      </c>
      <c r="J23" s="84" t="inlineStr">
        <is>
          <t>release_score asserts were vacuous; no _score_pair shape regression.</t>
        </is>
      </c>
      <c r="K23" s="84" t="inlineStr">
        <is>
          <t>Removed dead asserts; added 3-tuple regression; doctest sentinel.</t>
        </is>
      </c>
      <c r="L23" s="84" t="inlineStr">
        <is>
          <t>SIM-067</t>
        </is>
      </c>
      <c r="M23" s="84" t="inlineStr">
        <is>
          <t>Shipped sprint 2026-05-07. PM-accepted with documented `len==3` deviation from ticket-text `len==4`.</t>
        </is>
      </c>
    </row>
    <row r="24" ht="23.25" customHeight="1" s="47">
      <c r="A24" s="84" t="inlineStr">
        <is>
          <t>SIM-153</t>
        </is>
      </c>
      <c r="B24" s="84" t="inlineStr">
        <is>
          <t>Secrets management baseline</t>
        </is>
      </c>
      <c r="C24" s="84" t="inlineStr">
        <is>
          <t>Infrastructure</t>
        </is>
      </c>
      <c r="D24" s="84" t="inlineStr">
        <is>
          <t>Gap</t>
        </is>
      </c>
      <c r="E24" s="85" t="inlineStr">
        <is>
          <t>P1</t>
        </is>
      </c>
      <c r="F24" s="84" t="inlineStr">
        <is>
          <t>S</t>
        </is>
      </c>
      <c r="G24" s="84" t="inlineStr">
        <is>
          <t>QA/DevOps + Backend Developer</t>
        </is>
      </c>
      <c r="H24" s="89" t="inlineStr">
        <is>
          <t>Closed</t>
        </is>
      </c>
      <c r="I24" s="84" t="inlineStr">
        <is>
          <t>No</t>
        </is>
      </c>
      <c r="J24" s="84" t="inlineStr">
        <is>
          <t>Bare DSN strings; no env-var pattern; no startup validation; no CI secret check.</t>
        </is>
      </c>
      <c r="K24" s="84" t="inlineStr">
        <is>
          <t>validate_environment + env-fallback DSN + CI secrets-check job.</t>
        </is>
      </c>
      <c r="L24" s="84" t="inlineStr">
        <is>
          <t>SIM-145</t>
        </is>
      </c>
      <c r="M24" s="84" t="inlineStr">
        <is>
          <t>Shipped sprint 2026-05-07. PM-accepted 2026-05-07.</t>
        </is>
      </c>
    </row>
    <row r="25" ht="124.5" customHeight="1" s="47">
      <c r="A25" s="84" t="inlineStr">
        <is>
          <t>SIM-157</t>
        </is>
      </c>
      <c r="B25" s="84" t="inlineStr">
        <is>
          <t>Backfill legacy odds_hash + dedup pass on raw.game_odds</t>
        </is>
      </c>
      <c r="C25" s="84" t="inlineStr">
        <is>
          <t>Schema / ETL</t>
        </is>
      </c>
      <c r="D25" s="84" t="inlineStr">
        <is>
          <t>Improvement</t>
        </is>
      </c>
      <c r="E25" s="85" t="inlineStr">
        <is>
          <t>P1</t>
        </is>
      </c>
      <c r="F25" s="84" t="inlineStr">
        <is>
          <t>S (1–2 days)</t>
        </is>
      </c>
      <c r="G25" s="84" t="inlineStr">
        <is>
          <t>Data Engineer</t>
        </is>
      </c>
      <c r="H25" s="87" t="inlineStr">
        <is>
          <t>Open</t>
        </is>
      </c>
      <c r="I25" s="84" t="inlineStr">
        <is>
          <t>No</t>
        </is>
      </c>
      <c r="J25" s="84" t="inlineStr">
        <is>
          <t>SIM-092 added odds_hash + partial unique index but only enforces going forward. Pre-SIM-092 rows have NULL odds_hash and contain duplicates, inflating CLV row counts and slowing scans.</t>
        </is>
      </c>
      <c r="K25" s="84" t="inlineStr">
        <is>
          <t>1. scripts/backfill_odds_hash.py: compute odds_hash for every NULL row via LiveIngestionPipeline._odds_hash(); write back in 10k batches; report duplicate-detection stats.
2. DELETE keeps earliest row per (game_pk, source, odds_hash) group.
3. Promote partial unique index to a FULL unique index via Alembic 0012.
4. Validation: zero NULL hashes; zero duplicate (game_pk, source, hash) groups.
5. PR description includes row counts before/after for measurable storage win.</t>
        </is>
      </c>
      <c r="L25" s="84" t="inlineStr">
        <is>
          <t>SIM-092 (column + index already shipped)</t>
        </is>
      </c>
      <c r="M25" s="84" t="inlineStr">
        <is>
          <t>Created 2026-05-08 from SIM-092 carry-forward. Renumbered from SIM-094 to avoid collision with the existing Phase 2 polish ticket.</t>
        </is>
      </c>
    </row>
    <row r="26" ht="135.75" customHeight="1" s="47">
      <c r="A26" s="84" t="inlineStr">
        <is>
          <t>SIM-158</t>
        </is>
      </c>
      <c r="B26" s="84" t="inlineStr">
        <is>
          <t>Run EXPLAIN ANALYZE acceptance gates for SIM-085 + SIM-089</t>
        </is>
      </c>
      <c r="C26" s="84" t="inlineStr">
        <is>
          <t>Performance</t>
        </is>
      </c>
      <c r="D26" s="84" t="inlineStr">
        <is>
          <t>Validation</t>
        </is>
      </c>
      <c r="E26" s="85" t="inlineStr">
        <is>
          <t>P1</t>
        </is>
      </c>
      <c r="F26" s="84" t="inlineStr">
        <is>
          <t>S (1–2 days)</t>
        </is>
      </c>
      <c r="G26" s="84" t="inlineStr">
        <is>
          <t>Performance Engineer</t>
        </is>
      </c>
      <c r="H26" s="87" t="inlineStr">
        <is>
          <t>Open</t>
        </is>
      </c>
      <c r="I26" s="84" t="inlineStr">
        <is>
          <t>No</t>
        </is>
      </c>
      <c r="J26" s="84" t="inlineStr">
        <is>
          <t>SIM-085 (composite situation index) and SIM-089 ((pitcher, season) partial index) shipped with their acceptance gates expressed but not executed — sandbox lacked a populated DB. Once a 2024 staging DB exists, run the gates and record results.</t>
        </is>
      </c>
      <c r="K26" s="84" t="inlineStr">
        <is>
          <t>1. SIM-085: EXPLAIN (ANALYZE, BUFFERS) on a representative situation lookup reports Index Scan using idx_pitches_situation; &lt;30 ms.
2. SIM-089: EXPLAIN on _compute_pitcher_profiles primary fetch reports Index Scan using idx_pitches_pitcher_season_clean; &lt;50 ms for 3,000-pitch fetch.
3. Markdown report at docs/perf/2026-05-13-index-acceptance.md, linked from the SIM-085 / SIM-089 entries in CHANGES.md.
4. If either index loses to Seq Scan, file a follow-up + revert claim.</t>
        </is>
      </c>
      <c r="L26" s="84" t="inlineStr">
        <is>
          <t>SIM-085, SIM-089, populated 2024 staging DB</t>
        </is>
      </c>
      <c r="M26" s="84" t="inlineStr">
        <is>
          <t>Created 2026-05-08 from PM acceptance review. Renumbered from SIM-095 to avoid collision with the existing pitch_pool incremental ticket.</t>
        </is>
      </c>
    </row>
  </sheetData>
  <autoFilter ref="A1:M2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2026-05-08T04:00:20Z</dcterms:created>
  <dcterms:modified xmlns:dcterms="http://purl.org/dc/terms/" xmlns:xsi="http://www.w3.org/2001/XMLSchema-instance" xsi:type="dcterms:W3CDTF">2026-05-24T16:31:19Z</dcterms:modified>
  <cp:lastModifiedBy>Gregory Melick</cp:lastModifiedBy>
  <cp:revision>0</cp:revision>
</cp:coreProperties>
</file>