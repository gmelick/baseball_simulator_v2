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Phase 2 Closure Summary" sheetId="1" state="visible" r:id="rId3"/>
    <sheet name="Dashboard" sheetId="2" state="visible" r:id="rId4"/>
    <sheet name="Current Sprint" sheetId="3" state="visible" r:id="rId5"/>
    <sheet name="Full Backlog" sheetId="4" state="visible" r:id="rId6"/>
    <sheet name="Phase 2 Completion" sheetId="5" state="visible" r:id="rId7"/>
    <sheet name="Phase 3 Gate" sheetId="6" state="visible" r:id="rId8"/>
    <sheet name="Phase 4 Gate" sheetId="7" state="visible" r:id="rId9"/>
    <sheet name="Phase 5 Gate" sheetId="8" state="visible" r:id="rId10"/>
    <sheet name="Phase 6 Gate" sheetId="9" state="visible" r:id="rId11"/>
    <sheet name="Phase 6 Build" sheetId="10" state="visible" r:id="rId12"/>
    <sheet name="Phase 7 Gate" sheetId="11" state="visible" r:id="rId13"/>
  </sheets>
  <definedNames>
    <definedName function="false" hidden="true" localSheetId="3" name="_xlnm._FilterDatabase" vbProcedure="false">'Full Backlog'!$A$1:$M$97</definedName>
    <definedName function="false" hidden="true" localSheetId="4" name="_xlnm._FilterDatabase" vbProcedure="false">'Phase 2 Completion'!$A$1:$M$61</definedName>
    <definedName function="false" hidden="true" localSheetId="5" name="_xlnm._FilterDatabase" vbProcedure="false">'Phase 3 Gate'!$A$1:$M$24</definedName>
    <definedName function="false" hidden="true" localSheetId="6" name="_xlnm._FilterDatabase" vbProcedure="false">'Phase 4 Gate'!$A$1:$M$5</definedName>
    <definedName function="false" hidden="true" localSheetId="7" name="_xlnm._FilterDatabase" vbProcedure="false">'Phase 5 Gate'!$A$1:$M$19</definedName>
    <definedName function="false" hidden="true" localSheetId="9" name="_xlnm._FilterDatabase" vbProcedure="false">'Phase 6 Build'!$A$1:$M$1</definedName>
    <definedName function="false" hidden="true" localSheetId="8" name="_xlnm._FilterDatabase" vbProcedure="false">'Phase 6 Gate'!$A$1:$M$6</definedName>
    <definedName function="false" hidden="true" localSheetId="10" name="_xlnm._FilterDatabase" vbProcedure="false">'Phase 7 Gate'!$A$1:$M$24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<sst xmlns="http://schemas.openxmlformats.org/spreadsheetml/2006/main" count="4073" uniqueCount="952">
  <si>
    <t xml:space="preserve">PHASE 2 — CLOSED 2026-05-20</t>
  </si>
  <si>
    <t xml:space="preserve">All 11 similarity engines built · Both performance index gates passing · Test suite green · Ready for Phase 3</t>
  </si>
  <si>
    <t xml:space="preserve">Layer</t>
  </si>
  <si>
    <t xml:space="preserve">Status</t>
  </si>
  <si>
    <t xml:space="preserve">Similarity engines</t>
  </si>
  <si>
    <t xml:space="preserve">11 / 11 built: pitcher (GMM W₂); batter/fielder/baserunner-advance/baserunner-steal/catcher v2/pitcher-steal/manager (RBF); situation (KDTree); pitch-to-pitch + batted-ball (FAISS)</t>
  </si>
  <si>
    <t xml:space="preserve">Database schema</t>
  </si>
  <si>
    <t xml:space="preserve">12 Alembic migrations (0001 → 0012); 3 DuckDB migrations (0001 → 0003); 11 alembic + 3 duckdb chain integrity verified</t>
  </si>
  <si>
    <t xml:space="preserve">Performance index gates</t>
  </si>
  <si>
    <t xml:space="preserve">SIM-085 idx_pitches_situation: PASS against live 2024 staging. SIM-089 idx_pitches_pitcher_season_clean: PASS (6.77 ms / 50 ms budget)</t>
  </si>
  <si>
    <t xml:space="preserve">Test infrastructure</t>
  </si>
  <si>
    <t xml:space="preserve">767 unit/integration tests passing, 22 skipped (env-dependent), 0 failed. Smoke tests green. Integration tests Docker-aware.</t>
  </si>
  <si>
    <t xml:space="preserve">Phase 3 architecture spec</t>
  </si>
  <si>
    <t xml:space="preserve">docs/architecture/2026-05-20-play-pool.md accepted: pre-filter contract, sub-index materialization, recency lifecycle, PlayPoolSampler API, performance budget</t>
  </si>
  <si>
    <t xml:space="preserve">Program audit</t>
  </si>
  <si>
    <t xml:space="preserve">Full 9-agent audit complete (docs/audit/2026-05-21-program-audit.md). 53 prioritized follow-up tickets filed (47 new + 6 pre-existing)</t>
  </si>
  <si>
    <t xml:space="preserve">Operator runbook</t>
  </si>
  <si>
    <t xml:space="preserve">WORKFLOW.md formatted for Windows cmd; covers ETL → DuckDB build → FastAPI serve → similarity API → smoke tests</t>
  </si>
  <si>
    <t xml:space="preserve">Operational issues resolved</t>
  </si>
  <si>
    <t xml:space="preserve">Postgres port conflict (host 5433 permanent via DB_HOST_PORT in .env); OneDrive sync truncation patterns documented; SIM-163 IS NOT DISTINCT FROM regression caught + fixed</t>
  </si>
  <si>
    <t xml:space="preserve">Sprint history</t>
  </si>
  <si>
    <t xml:space="preserve">Sprint</t>
  </si>
  <si>
    <t xml:space="preserve">Theme</t>
  </si>
  <si>
    <t xml:space="preserve">Tickets</t>
  </si>
  <si>
    <t xml:space="preserve">Disposition</t>
  </si>
  <si>
    <t xml:space="preserve">Outcome</t>
  </si>
  <si>
    <t xml:space="preserve">2026-05-06 + 07</t>
  </si>
  <si>
    <t xml:space="preserve">Data + Backend Stabilisation</t>
  </si>
  <si>
    <t xml:space="preserve">16 (SIM-085/086/087/088/089/091/092/093/101/102/103/104/105/106/148/153)</t>
  </si>
  <si>
    <t xml:space="preserve">Closed 2026-05-07</t>
  </si>
  <si>
    <t xml:space="preserve">11 Alembic migrations baseline; backend live-pipeline hardened</t>
  </si>
  <si>
    <t xml:space="preserve">2026-05-13</t>
  </si>
  <si>
    <t xml:space="preserve">Phase 2 Closure &amp; Engine Build-out</t>
  </si>
  <si>
    <t xml:space="preserve">7 (SIM-072/073/041/042/157/158/159)</t>
  </si>
  <si>
    <t xml:space="preserve">Closed 2026-05-14</t>
  </si>
  <si>
    <t xml:space="preserve">Catcher v2 (5 sub-scores); pitch-to-pitch + batted-ball FAISS engines; index acceptance harness</t>
  </si>
  <si>
    <t xml:space="preserve">2026-05-20</t>
  </si>
  <si>
    <t xml:space="preserve">Phase 2 hardening &amp; Phase 3 kickoff</t>
  </si>
  <si>
    <t xml:space="preserve">7 (SIM-051/160/162/149/150/300/161)</t>
  </si>
  <si>
    <t xml:space="preserve">Closed 2026-05-20</t>
  </si>
  <si>
    <t xml:space="preserve">All Phase 2 engine unit tests; SIM-051 spray angle; Phase 3 spec accepted; live index runs PASS</t>
  </si>
  <si>
    <t xml:space="preserve">Phase 3 entry — Tier P0 tickets (next two sprints)</t>
  </si>
  <si>
    <t xml:space="preserve">Ticket</t>
  </si>
  <si>
    <t xml:space="preserve">Owner</t>
  </si>
  <si>
    <t xml:space="preserve">Size</t>
  </si>
  <si>
    <t xml:space="preserve">Why P0</t>
  </si>
  <si>
    <t xml:space="preserve">SIM-301</t>
  </si>
  <si>
    <t xml:space="preserve">Backend Developer</t>
  </si>
  <si>
    <t xml:space="preserve">M</t>
  </si>
  <si>
    <t xml:space="preserve">Play-pool nightly cache serializer — first concrete Phase 3 deliverable. Materializes pre-filtered FAISS indexes onto disk for hot-load.</t>
  </si>
  <si>
    <t xml:space="preserve">SIM-302</t>
  </si>
  <si>
    <t xml:space="preserve">Backend + ML Engineer</t>
  </si>
  <si>
    <t xml:space="preserve">PlayPoolSampler API surface — how the sim loop will pull pitches/plays. Defines query contract for Phase 4.</t>
  </si>
  <si>
    <t xml:space="preserve">SIM-303</t>
  </si>
  <si>
    <t xml:space="preserve">Wire sampler into Phase 4 simulation-loop scaffold. Last Phase 3 ticket before Phase 4 implementation begins.</t>
  </si>
  <si>
    <t xml:space="preserve">SIM-220</t>
  </si>
  <si>
    <t xml:space="preserve">ML Engineer</t>
  </si>
  <si>
    <t xml:space="preserve">L</t>
  </si>
  <si>
    <t xml:space="preserve">Backtesting framework — no simulator output is verifiable without this. Walk-forward + golden-file fixtures.</t>
  </si>
  <si>
    <t xml:space="preserve">SIM-201</t>
  </si>
  <si>
    <t xml:space="preserve">Baseball Analyst</t>
  </si>
  <si>
    <t xml:space="preserve">Manager decision logic spec — required for Step 7 of the sim loop. Probably needs its own sprint.</t>
  </si>
  <si>
    <t xml:space="preserve">SIM-202</t>
  </si>
  <si>
    <t xml:space="preserve">S</t>
  </si>
  <si>
    <t xml:space="preserve">Centralize run-value constants in simulation/constants.py. Prerequisite for Phase 4 cleanup.</t>
  </si>
  <si>
    <t xml:space="preserve">SIM-118</t>
  </si>
  <si>
    <t xml:space="preserve">Performance Engineer</t>
  </si>
  <si>
    <t xml:space="preserve">pytest-benchmark harness — no measurable SLA without it. Engine query latency, GMM fit, sim loop stubs.</t>
  </si>
  <si>
    <t xml:space="preserve">SIM-280</t>
  </si>
  <si>
    <t xml:space="preserve">Per-engine RAM budget within the 2 GB SIM-114 envelope. Required before play-pool cache is sized.</t>
  </si>
  <si>
    <t xml:space="preserve">SIM-281</t>
  </si>
  <si>
    <t xml:space="preserve">ProcessPoolExecutor + shared-memory architecture decision. Locks the Phase 4 parallelism model.</t>
  </si>
  <si>
    <t xml:space="preserve">Open follow-ups from Phase 2 sprints</t>
  </si>
  <si>
    <t xml:space="preserve">Description</t>
  </si>
  <si>
    <t xml:space="preserve">SIM-163</t>
  </si>
  <si>
    <t xml:space="preserve">Re-verify SIM-085 latency on cold cache + consider INCLUDE columns on idx_pitches_situation for Index Only Scan (10x potential speedup).</t>
  </si>
  <si>
    <t xml:space="preserve">See docs/HANDOFF_PHASE3.md for the full Phase 3 onboarding doc.</t>
  </si>
  <si>
    <t xml:space="preserve">MLB Baseball Simulation Platform — Backlog Dashboard (Phase 3 COMPLETE)</t>
  </si>
  <si>
    <t xml:space="preserve">Generated 2026-05-21 — PHASE 3 COMPLETE; Phase-3-close program audit filed 41 Phase 4 tickets (SIM-220 + SIM-310..349). See docs/audit/2026-06-10-*.</t>
  </si>
  <si>
    <t xml:space="preserve">Tickets by Status</t>
  </si>
  <si>
    <t xml:space="preserve">Tickets by Priority (Open + Held)</t>
  </si>
  <si>
    <t xml:space="preserve">Count</t>
  </si>
  <si>
    <t xml:space="preserve">Priority</t>
  </si>
  <si>
    <t xml:space="preserve">Closed</t>
  </si>
  <si>
    <t xml:space="preserve">P0</t>
  </si>
  <si>
    <t xml:space="preserve">Open</t>
  </si>
  <si>
    <t xml:space="preserve">P1</t>
  </si>
  <si>
    <t xml:space="preserve">Held</t>
  </si>
  <si>
    <t xml:space="preserve">P2</t>
  </si>
  <si>
    <t xml:space="preserve">In Progress</t>
  </si>
  <si>
    <t xml:space="preserve">P3</t>
  </si>
  <si>
    <t xml:space="preserve">Total</t>
  </si>
  <si>
    <t xml:space="preserve">Open Tickets by Assignee Role</t>
  </si>
  <si>
    <t xml:space="preserve">Current Sprint (2026-06-10)</t>
  </si>
  <si>
    <t xml:space="preserve">Role</t>
  </si>
  <si>
    <t xml:space="preserve">Metric</t>
  </si>
  <si>
    <t xml:space="preserve">Value</t>
  </si>
  <si>
    <t xml:space="preserve">Data Engineer</t>
  </si>
  <si>
    <t xml:space="preserve">Total tickets</t>
  </si>
  <si>
    <t xml:space="preserve">% Complete</t>
  </si>
  <si>
    <t xml:space="preserve">QA/DevOps</t>
  </si>
  <si>
    <t xml:space="preserve">UX Designer</t>
  </si>
  <si>
    <t xml:space="preserve">Betting Analyst</t>
  </si>
  <si>
    <t xml:space="preserve">Product Manager</t>
  </si>
  <si>
    <t xml:space="preserve">Quick Links</t>
  </si>
  <si>
    <t xml:space="preserve">Full Backlog</t>
  </si>
  <si>
    <t xml:space="preserve">Every ticket in the project</t>
  </si>
  <si>
    <t xml:space="preserve">Current Sprint</t>
  </si>
  <si>
    <t xml:space="preserve">Sprint 2026-06-10 Phase 3 completion commit list</t>
  </si>
  <si>
    <t xml:space="preserve">Phase 2 Completion</t>
  </si>
  <si>
    <t xml:space="preserve">Similarity engine suite + Phase 2 polish</t>
  </si>
  <si>
    <t xml:space="preserve">Phase 3 Gate</t>
  </si>
  <si>
    <t xml:space="preserve">Play pool architecture dependencies</t>
  </si>
  <si>
    <t xml:space="preserve">Phase 4 Gate</t>
  </si>
  <si>
    <t xml:space="preserve">Core simulation loop dependencies</t>
  </si>
  <si>
    <t xml:space="preserve">Phase 5 Gate</t>
  </si>
  <si>
    <t xml:space="preserve">Backend API + simulation runner</t>
  </si>
  <si>
    <t xml:space="preserve">Phase 6 Gate</t>
  </si>
  <si>
    <t xml:space="preserve">Frontend dependencies</t>
  </si>
  <si>
    <t xml:space="preserve">Phase 6 Build</t>
  </si>
  <si>
    <t xml:space="preserve">Frontend implementation tickets</t>
  </si>
  <si>
    <t xml:space="preserve">Phase 7 Gate</t>
  </si>
  <si>
    <t xml:space="preserve">Integration / testing / deployment</t>
  </si>
  <si>
    <t xml:space="preserve">Sprint 2026-05-13 — Phase 2 Closure &amp; Engine Build-out (CLOSED 2026-05-14)</t>
  </si>
  <si>
    <t xml:space="preserve">Disposition: ✅ all 7 tickets accepted by PM on 2026-05-14</t>
  </si>
  <si>
    <t xml:space="preserve">• SIM-073 (DE)  · steal_attempt_rate_against column + DuckDB migration 0002</t>
  </si>
  <si>
    <t xml:space="preserve">• SIM-072 (ML)  · CatcherSimilarityEngine v2 — 5-sub-score split</t>
  </si>
  <si>
    <t xml:space="preserve">• SIM-157 (DE)  · odds_hash backfill + Alembic 0012 (full unique)</t>
  </si>
  <si>
    <t xml:space="preserve">• SIM-158 (PE)  · EXPLAIN ANALYZE harness (live run → SIM-161)</t>
  </si>
  <si>
    <t xml:space="preserve">• SIM-159 (BE)  · MockOddsAPI vig flake fix (test-side bounds)</t>
  </si>
  <si>
    <t xml:space="preserve">• SIM-041 (ML)  · Pitch-to-Pitch FAISS engine (Step 2.10)</t>
  </si>
  <si>
    <t xml:space="preserve">• SIM-042 (ML)  · Batted-Ball FAISS engine (Step 2.11)</t>
  </si>
  <si>
    <t xml:space="preserve">All 11 similarity engines now built — Phase 2 milestone reached.</t>
  </si>
  <si>
    <t xml:space="preserve">Next sprint: 2026-05-20 — Phase 2 hardening &amp; Phase 3 kickoff (see Current Sprint sheet)</t>
  </si>
  <si>
    <t xml:space="preserve">Sprint 2026-06-10 — CLOSED 2026-05-21: Phase 3 Completion — all 6 play-pool tickets shipped &amp; accepted after independent QA (927 unit+regression passing / 1 skipped; 3 perf benches). Phase 3 (Play Pool Architecture) COMPLETE. See docs/SPRINT_2026-06-10_phase3_completion.md</t>
  </si>
  <si>
    <t xml:space="preserve">Sprint goal: ship the first Phase 3 deliverables — play-pool nightly cache (SIM-301) + sampler API (SIM-302) — alongside the Tier-P0 perf and BA prereqs that gate Phase 4. Backtesting framework (SIM-220) and manager decision logic spec (SIM-201) likely span two sprints; start scoping in this one.</t>
  </si>
  <si>
    <t xml:space="preserve">Ticket ID</t>
  </si>
  <si>
    <t xml:space="preserve">Title</t>
  </si>
  <si>
    <t xml:space="preserve">Category</t>
  </si>
  <si>
    <t xml:space="preserve">Type</t>
  </si>
  <si>
    <t xml:space="preserve">Assignee Role</t>
  </si>
  <si>
    <t xml:space="preserve">Blocked</t>
  </si>
  <si>
    <t xml:space="preserve">Acceptance Criteria</t>
  </si>
  <si>
    <t xml:space="preserve">Dependencies</t>
  </si>
  <si>
    <t xml:space="preserve">Notes</t>
  </si>
  <si>
    <t xml:space="preserve">SIM-048</t>
  </si>
  <si>
    <t xml:space="preserve">SimilarityEngineRegistry — unified interface for all 11 engines</t>
  </si>
  <si>
    <t xml:space="preserve">Phase 3</t>
  </si>
  <si>
    <t xml:space="preserve">Feature</t>
  </si>
  <si>
    <t xml:space="preserve">No</t>
  </si>
  <si>
    <t xml:space="preserve">Registry mapping canonical names to engine classes + metadata (family, score_type).</t>
  </si>
  <si>
    <t xml:space="preserve">similarity/registry.py; lists 11; lazy guarded imports; tests.</t>
  </si>
  <si>
    <t xml:space="preserve">SIM-071</t>
  </si>
  <si>
    <t xml:space="preserve">Root of the Phase 3 remainder chain.</t>
  </si>
  <si>
    <t xml:space="preserve">SIM-076</t>
  </si>
  <si>
    <t xml:space="preserve">recency_weight on sim pools + pool_build_metadata + walk-forward harness</t>
  </si>
  <si>
    <t xml:space="preserve">Improvement</t>
  </si>
  <si>
    <t xml:space="preserve">Data Engineer + ML Engineer</t>
  </si>
  <si>
    <t xml:space="preserve">2x last-2-seasons recency weight, decay older; metadata table; harness.</t>
  </si>
  <si>
    <t xml:space="preserve">Migration 0004; schema v5; computor populates; harness module; tests.</t>
  </si>
  <si>
    <t xml:space="preserve">Recency boost materialized as a column.</t>
  </si>
  <si>
    <t xml:space="preserve">SIM-095</t>
  </si>
  <si>
    <t xml:space="preserve">Incremental pitch_pool/outcome_pool rebuild</t>
  </si>
  <si>
    <t xml:space="preserve">Rebuild only seasons whose source changed; full rebuild fallback.</t>
  </si>
  <si>
    <t xml:space="preserve">_seasons_needing_rebuild; run() incremental=not full_rebuild; tests.</t>
  </si>
  <si>
    <t xml:space="preserve">Replaces nightly full delete+reinsert.</t>
  </si>
  <si>
    <t xml:space="preserve">SIM-111</t>
  </si>
  <si>
    <t xml:space="preserve">Play-pool query API column contracts</t>
  </si>
  <si>
    <t xml:space="preserve">Gap</t>
  </si>
  <si>
    <t xml:space="preserve">Backend Developer + Data Engineer</t>
  </si>
  <si>
    <t xml:space="preserve">Document the 3 pools' query columns, pre-filter keys, access patterns, recency_weight.</t>
  </si>
  <si>
    <t xml:space="preserve">docs/architecture/2026-05-21-play-pool-query-contracts.md.</t>
  </si>
  <si>
    <t xml:space="preserve">Drove SIM-115 keep/drop decisions.</t>
  </si>
  <si>
    <t xml:space="preserve">SIM-115</t>
  </si>
  <si>
    <t xml:space="preserve">Prune DuckDB sim pool indexes</t>
  </si>
  <si>
    <t xml:space="preserve">Data Engineer + Performance Engineer</t>
  </si>
  <si>
    <t xml:space="preserve">Keep query-path indexes; drop write-overhead ones (schema-qualified DROP).</t>
  </si>
  <si>
    <t xml:space="preserve">Migration 0005; schema updated; tests.</t>
  </si>
  <si>
    <t xml:space="preserve">DROP INDEX must be sim.-qualified.</t>
  </si>
  <si>
    <t xml:space="preserve">SIM-056</t>
  </si>
  <si>
    <t xml:space="preserve">Count-stratified foul-ball frequency weighting design</t>
  </si>
  <si>
    <t xml:space="preserve">Design</t>
  </si>
  <si>
    <t xml:space="preserve">Count -&gt; foul-frequency factor at outcome step; two-strike foul keeps PA alive.</t>
  </si>
  <si>
    <t xml:space="preserve">docs/architecture/2026-05-21-foul-ball-weighting.md + illustrative CSV.</t>
  </si>
  <si>
    <t xml:space="preserve">Design doc; impl in Phase 4 loop.</t>
  </si>
  <si>
    <t xml:space="preserve">Description/Problem Statement</t>
  </si>
  <si>
    <t xml:space="preserve">Notes/Rationale</t>
  </si>
  <si>
    <t xml:space="preserve">SIM-041</t>
  </si>
  <si>
    <t xml:space="preserve">Build pitch-to-pitch similarity engine (2.10) — FAISS flat index</t>
  </si>
  <si>
    <t xml:space="preserve">Similarity Engines</t>
  </si>
  <si>
    <t xml:space="preserve">L (1–2 weeks)</t>
  </si>
  <si>
    <t xml:space="preserve">Shipped 2026-05-14 (sprint 2026-05-13)</t>
  </si>
  <si>
    <t xml:space="preserve">Pitch-to-pitch similarity engine using FAISS flat index. Matches a query pitch (velocity, IVB, HB, spin rate, spin axis, release position, extension, plate location) to the most similar pitches in the pool. Powers the pitch selection step of the simulation loop (Phase 4 Step 2).</t>
  </si>
  <si>
    <t xml:space="preserve">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</si>
  <si>
    <t xml:space="preserve">SIM-071 (package structure), SIM-114 (FAISS design spec)</t>
  </si>
  <si>
    <t xml:space="preserve">Build order: this engine first (enables Phase 3 play pool testing).</t>
  </si>
  <si>
    <t xml:space="preserve">SIM-042</t>
  </si>
  <si>
    <t xml:space="preserve">Build batted ball-to-batted ball similarity engine (2.11) — FAISS IVFFlat</t>
  </si>
  <si>
    <t xml:space="preserve">Batted ball similarity engine using FAISS IVFFlat index. Matches a query batted ball (exit velo, launch angle, pull_relative_spray_angle, bb_type) to similar historical batted balls for fielding resolution in the simulation loop.</t>
  </si>
  <si>
    <t xml:space="preserve">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</si>
  <si>
    <t xml:space="preserve">SIM-051 (pull_relative_spray_angle column must exist), SIM-041 (FAISS pattern)</t>
  </si>
  <si>
    <t xml:space="preserve">Required for fielding resolution in Phase 4 Step 4.</t>
  </si>
  <si>
    <t xml:space="preserve">SIM-043</t>
  </si>
  <si>
    <t xml:space="preserve">Build catcher similarity engine (2.6) — requires schema columns, speed-adjusted CS rate</t>
  </si>
  <si>
    <t xml:space="preserve">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</si>
  <si>
    <t xml:space="preserve">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</si>
  <si>
    <t xml:space="preserve">SIM-071, SIM-077 (sprint speed join in profile computor), SIM-084</t>
  </si>
  <si>
    <t xml:space="preserve">Catcher throwing features feed into steal determination — Phase 4 Step 1.</t>
  </si>
  <si>
    <t xml:space="preserve">SIM-044</t>
  </si>
  <si>
    <t xml:space="preserve">Build baserunner steal similarity engine (2.5)</t>
  </si>
  <si>
    <t xml:space="preserve">M (3–5 days)</t>
  </si>
  <si>
    <t xml:space="preserve">Separate from the extra-base advancement engine (already built), this engine scores baserunner-to-baserunner similarity specifically for stolen base decisions: sprint speed, historical SB attempt rate, success rate, and pickoff evasion. Powers Phase 4 Step 1 (steal determination).</t>
  </si>
  <si>
    <t xml:space="preserve">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</si>
  <si>
    <t xml:space="preserve">SIM-071, SIM-070 (below_minimum_sample fix), SIM-077 (sprint speed)</t>
  </si>
  <si>
    <t xml:space="preserve">Distinct from baserunner extra-base engine — steal-specific features and use case.</t>
  </si>
  <si>
    <t xml:space="preserve">SIM-045</t>
  </si>
  <si>
    <t xml:space="preserve">Build pitcher-allowing-steals similarity engine (2.7)</t>
  </si>
  <si>
    <t xml:space="preserve">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</si>
  <si>
    <t xml:space="preserve">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</si>
  <si>
    <t xml:space="preserve">SIM-071, SIM-059 (revised feature set spec)</t>
  </si>
  <si>
    <t xml:space="preserve">Feed into Phase 4 Step 1 steal attempt probability.</t>
  </si>
  <si>
    <t xml:space="preserve">SIM-046</t>
  </si>
  <si>
    <t xml:space="preserve">Build manager similarity engine (2.8)</t>
  </si>
  <si>
    <t xml:space="preserve">ML Engineer + Data Engineer</t>
  </si>
  <si>
    <t xml:space="preserve">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</si>
  <si>
    <t xml:space="preserve">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</si>
  <si>
    <t xml:space="preserve">SIM-071, SIM-057 (manager schema additions)</t>
  </si>
  <si>
    <t xml:space="preserve">Manager engine powers Phase 4 Step 7 (manager decision logic).</t>
  </si>
  <si>
    <t xml:space="preserve">SIM-047</t>
  </si>
  <si>
    <t xml:space="preserve">Build situation-to-situation similarity engine (2.9) — KDTree</t>
  </si>
  <si>
    <t xml:space="preserve">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</si>
  <si>
    <t xml:space="preserve">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</si>
  <si>
    <t xml:space="preserve">SIM-071, SIM-085 (situation index), SIM-058 (LI lookup table for features)</t>
  </si>
  <si>
    <t xml:space="preserve">Cross-cutting weight modifier — used to adjust all other engine weights by game situation.</t>
  </si>
  <si>
    <t xml:space="preserve">Build SimilarityEngineRegistry — unified interface for all 11 engines</t>
  </si>
  <si>
    <t xml:space="preserve">ML Engineer + Backend Developer</t>
  </si>
  <si>
    <t xml:space="preserve">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</si>
  <si>
    <t xml:space="preserve">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</si>
  <si>
    <t xml:space="preserve">SIM-071 (package structure + base.py), all 11 engines complete</t>
  </si>
  <si>
    <t xml:space="preserve">Phase 2 completion gate — registry is the final deliverable.</t>
  </si>
  <si>
    <t xml:space="preserve">SIM-050</t>
  </si>
  <si>
    <t xml:space="preserve">Merge fielder diagnostics into similarity_diagnostics.py — fix silent CI failure</t>
  </si>
  <si>
    <t xml:space="preserve">Bug</t>
  </si>
  <si>
    <t xml:space="preserve">S (&lt; 1 day)</t>
  </si>
  <si>
    <t xml:space="preserve">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</si>
  <si>
    <t xml:space="preserve">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</si>
  <si>
    <t xml:space="preserve">None</t>
  </si>
  <si>
    <t xml:space="preserve">CI regression gate (SIM-154) is incomplete until this is fixed.</t>
  </si>
  <si>
    <t xml:space="preserve">SIM-051</t>
  </si>
  <si>
    <t xml:space="preserve">Pre-compute pull_relative_spray_angle in sim.outcome_pool at ETL time</t>
  </si>
  <si>
    <t xml:space="preserve">Schema / ETL</t>
  </si>
  <si>
    <t xml:space="preserve">S (1–2 days)</t>
  </si>
  <si>
    <t xml:space="preserve">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</si>
  <si>
    <t xml:space="preserve">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</si>
  <si>
    <t xml:space="preserve">SIM-084 (DuckDB migration pattern via Alembic/DuckDB versioning)</t>
  </si>
  <si>
    <t xml:space="preserve">Blocks SIM-042. Must land before the batted ball FAISS index is built.</t>
  </si>
  <si>
    <t xml:space="preserve">SIM-052</t>
  </si>
  <si>
    <t xml:space="preserve">Add pitch-archetype pre-filter to pitcher similarity engine</t>
  </si>
  <si>
    <t xml:space="preserve">ML Engineer + Baseball Analyst</t>
  </si>
  <si>
    <t xml:space="preserve">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</si>
  <si>
    <t xml:space="preserve">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</si>
  <si>
    <t xml:space="preserve">SIM-041 (pitch-to-pitch engine must exist first)</t>
  </si>
  <si>
    <t xml:space="preserve">Improvement to pitch selection quality — optional filter, not required for correctness.</t>
  </si>
  <si>
    <t xml:space="preserve">SIM-053</t>
  </si>
  <si>
    <t xml:space="preserve">Add two-strike count-stratified features to batter engine</t>
  </si>
  <si>
    <t xml:space="preserve">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</si>
  <si>
    <t xml:space="preserve">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</si>
  <si>
    <t xml:space="preserve">SIM-069 (platoon calibration fix should land first)</t>
  </si>
  <si>
    <t xml:space="preserve">Important for strikeout prop accuracy — the primary prop market.</t>
  </si>
  <si>
    <t xml:space="preserve">SIM-054</t>
  </si>
  <si>
    <t xml:space="preserve">Replace xBA/xSLG with wOBAcon/ISO in batter power sub-score</t>
  </si>
  <si>
    <t xml:space="preserve">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</si>
  <si>
    <t xml:space="preserve">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</si>
  <si>
    <t xml:space="preserve">Baseball Analyst sign-off</t>
  </si>
  <si>
    <t xml:space="preserve">Minor feature improvement — lower priority than core bugs but should land in Phase 2.</t>
  </si>
  <si>
    <t xml:space="preserve">SIM-055</t>
  </si>
  <si>
    <t xml:space="preserve">Design directional HR model with spray-angle park factor splits</t>
  </si>
  <si>
    <t xml:space="preserve">Simulation Loop</t>
  </si>
  <si>
    <t xml:space="preserve">Data Engineer + Baseball Analyst</t>
  </si>
  <si>
    <t xml:space="preserve">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</si>
  <si>
    <t xml:space="preserve">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</si>
  <si>
    <t xml:space="preserve">SIM-094 (park_factors schema), SIM-063 (park_factors effective_date)</t>
  </si>
  <si>
    <t xml:space="preserve">Directional HR model is critical for HR prop calibration — same exit conditions produce different HR rates by park and direction.</t>
  </si>
  <si>
    <t xml:space="preserve">Design count-stratified foul ball frequency weighting for outcome pool</t>
  </si>
  <si>
    <t xml:space="preserve">Backend Developer + Baseball Analyst</t>
  </si>
  <si>
    <t xml:space="preserve">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</si>
  <si>
    <t xml:space="preserve">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</si>
  <si>
    <t xml:space="preserve">SIM-111 (play pool query API contracts)</t>
  </si>
  <si>
    <t xml:space="preserve">Important for K-rate prop accuracy — undercounting fouls shortens simulated PA lengths and inflates K rates.</t>
  </si>
  <si>
    <t xml:space="preserve">SIM-057</t>
  </si>
  <si>
    <t xml:space="preserve">Add opener_rate, extreme_shift_rate, intentional_walk_rate to manager profiles</t>
  </si>
  <si>
    <t xml:space="preserve">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</si>
  <si>
    <t xml:space="preserve">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</si>
  <si>
    <t xml:space="preserve">SIM-084 (DuckDB migration)</t>
  </si>
  <si>
    <t xml:space="preserve">Manager similarity engine (SIM-046) cannot be meaningfully built without these features.</t>
  </si>
  <si>
    <t xml:space="preserve">SIM-059</t>
  </si>
  <si>
    <t xml:space="preserve">Revise pitcher-allowing-SBs feature set: stretch timing, pickoff success, delivery metrics</t>
  </si>
  <si>
    <t xml:space="preserve">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</si>
  <si>
    <t xml:space="preserve">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</si>
  <si>
    <t xml:space="preserve">Baseball Analyst sign-off required before implementation</t>
  </si>
  <si>
    <t xml:space="preserve">Feature definition must be locked before SIM-045 (pitcher-steal engine) is built.</t>
  </si>
  <si>
    <t xml:space="preserve">SIM-061</t>
  </si>
  <si>
    <t xml:space="preserve">Add pitch-type conditioning coefficients to steal attempt probability</t>
  </si>
  <si>
    <t xml:space="preserve">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</si>
  <si>
    <t xml:space="preserve">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</si>
  <si>
    <t xml:space="preserve">SIM-108 (step_steal.py stub), SIM-044 (baserunner steal engine)</t>
  </si>
  <si>
    <t xml:space="preserve">Relatively small improvement in isolation but compounds over many simulation iterations.</t>
  </si>
  <si>
    <t xml:space="preserve">SIM-062</t>
  </si>
  <si>
    <t xml:space="preserve">Upgrade catcher framing to logistic regression on zone distance features</t>
  </si>
  <si>
    <t xml:space="preserve">The current catcher framing model uses a simplified zone-based approach. Logistic regression on zone distance features (how far outside the zone the pitch landed, plate_x, plate_z, catcher_id) produces a probability of called strike that properly captures framing value at the margins.</t>
  </si>
  <si>
    <t xml:space="preserve">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</si>
  <si>
    <t xml:space="preserve">SIM-043 (catcher schema columns), SIM-108 (step_outcome.py stub)</t>
  </si>
  <si>
    <t xml:space="preserve">Framing directly impacts called strike rate which affects pitcher K totals — relevant for K prop calibration.</t>
  </si>
  <si>
    <t xml:space="preserve">SIM-063</t>
  </si>
  <si>
    <t xml:space="preserve">Add effective_date and prior_seasons_factor to park_factors — extended with DE schema work</t>
  </si>
  <si>
    <t xml:space="preserve">Current park_factors PRIMARY KEY (venue_id, season, factor_type) prevents representing mid-season park renovations and early-season thin samples. DuckDB requires a CREATE-INSERT-DROP-RENAME pattern to ALTER PRIMARY KEY since ALTER TABLE ADD PRIMARY KEY is unsupported.</t>
  </si>
  <si>
    <t xml:space="preserve">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</si>
  <si>
    <t xml:space="preserve">SIM-084 (DuckDB migration versioning)</t>
  </si>
  <si>
    <t xml:space="preserve">Must complete before SIM-094 (directional HR distances) — both modify park_factors; PK change first.</t>
  </si>
  <si>
    <t xml:space="preserve">SIM-065</t>
  </si>
  <si>
    <t xml:space="preserve">Ghost runner explicit season conditioning + full GameState field spec</t>
  </si>
  <si>
    <t xml:space="preserve">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</si>
  <si>
    <t xml:space="preserve">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</si>
  <si>
    <t xml:space="preserve">SIM-110 (GameState spec), SIM-108 (GameState dataclass implementation)</t>
  </si>
  <si>
    <t xml:space="preserve">Season conditioning prevents incorrect ghost runner behavior when simulating historical 2022 games.</t>
  </si>
  <si>
    <t xml:space="preserve">SIM-066</t>
  </si>
  <si>
    <t xml:space="preserve">BaserunnerStealSimilarityEngine (Step 2.5)</t>
  </si>
  <si>
    <t xml:space="preserve">No engine matched baserunners by steal tendency / first-step / success.</t>
  </si>
  <si>
    <t xml:space="preserve">RBF engine with 3 sub-scores (tendency 40, jump 35, success 25); EB_N_PRIOR=20.</t>
  </si>
  <si>
    <t xml:space="preserve">SIM-071 (package structure)</t>
  </si>
  <si>
    <t xml:space="preserve">Shipped sprint 2026-05-05. Full details in CHANGES.md.</t>
  </si>
  <si>
    <t xml:space="preserve">SIM-067</t>
  </si>
  <si>
    <t xml:space="preserve">CatcherSimilarityEngine (Step 2.6)</t>
  </si>
  <si>
    <t xml:space="preserve">Multi-dimensional catcher profile (framing, blocking, throwing, offense).</t>
  </si>
  <si>
    <t xml:space="preserve">RBF with 4 sub-scores; EB_N_PRIOR=15; min 300 pitches received.</t>
  </si>
  <si>
    <t xml:space="preserve">Shipped sprint 2026-05-05. Superseded for throwing split by SIM-072.</t>
  </si>
  <si>
    <t xml:space="preserve">SIM-068</t>
  </si>
  <si>
    <t xml:space="preserve">PitcherStealSimilarityEngine (Step 2.7)</t>
  </si>
  <si>
    <t xml:space="preserve">Pitcher hold-runner / disengagement / pickoff profile.</t>
  </si>
  <si>
    <t xml:space="preserve">RBF with delivery/disengagement/outcomes; EB_N_PRIOR=25.</t>
  </si>
  <si>
    <t xml:space="preserve">Shipped sprint 2026-05-05.</t>
  </si>
  <si>
    <t xml:space="preserve">SIM-069</t>
  </si>
  <si>
    <t xml:space="preserve">ManagerSimilarityEngine (Step 2.8)</t>
  </si>
  <si>
    <t xml:space="preserve">Manager behavioural fingerprint (pitcher usage, aggression, platoon).</t>
  </si>
  <si>
    <t xml:space="preserve">RBF with 3 sub-scores; EB_N_PRIOR=30; min 50 games.</t>
  </si>
  <si>
    <t xml:space="preserve">SIM-070</t>
  </si>
  <si>
    <t xml:space="preserve">SituationSimilarityEngine (Step 2.9) — KDTree</t>
  </si>
  <si>
    <t xml:space="preserve">Per-PA situation lookup (count + outs + baserunners + leverage).</t>
  </si>
  <si>
    <t xml:space="preserve">scipy KDTree; 11-feature SituationVector; importance-weighted scaling.</t>
  </si>
  <si>
    <t xml:space="preserve">ML Engine Tests + Diagnostics Enhancement</t>
  </si>
  <si>
    <t xml:space="preserve">Testing</t>
  </si>
  <si>
    <t xml:space="preserve">No tests for SIM-066..070 + run_generic_diagnostics didn't exist.</t>
  </si>
  <si>
    <t xml:space="preserve">Added run_generic_diagnostics; ~50 new unit tests across 7 classes.</t>
  </si>
  <si>
    <t xml:space="preserve">SIM-066..070</t>
  </si>
  <si>
    <t xml:space="preserve">SIM-072</t>
  </si>
  <si>
    <t xml:space="preserve">CatcherSimilarityEngine v2 — split throwing into Execution + Deterrence</t>
  </si>
  <si>
    <t xml:space="preserve">Enhancement</t>
  </si>
  <si>
    <t xml:space="preserve">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</si>
  <si>
    <t xml:space="preserve">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</si>
  <si>
    <t xml:space="preserve">SIM-073 (data dependency)</t>
  </si>
  <si>
    <t xml:space="preserve">Supersedes the composite weight scheme from SIM-067.</t>
  </si>
  <si>
    <t xml:space="preserve">SIM-073</t>
  </si>
  <si>
    <t xml:space="preserve">Add steal_attempt_rate_against column to derived.catcher_season_metrics</t>
  </si>
  <si>
    <t xml:space="preserve">SIM-072 v2 needs a Deterrence sub-score driven by the rate at which opposing runners attempt to steal against this catcher per PA opportunity. Column doesn't exist yet on the derived table.</t>
  </si>
  <si>
    <t xml:space="preserve">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</si>
  <si>
    <t xml:space="preserve">SIM-084 (DuckDB migration pattern)</t>
  </si>
  <si>
    <t xml:space="preserve">Blocks SIM-072.</t>
  </si>
  <si>
    <t xml:space="preserve">SIM-074</t>
  </si>
  <si>
    <t xml:space="preserve">Fix barrel_rate computation — implement full Statcast sliding-scale definition</t>
  </si>
  <si>
    <t xml:space="preserve">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</si>
  <si>
    <t xml:space="preserve">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</si>
  <si>
    <t xml:space="preserve">Affects power sub-score and HR prop calibration. Also confirms avg_launch_angle is populated.</t>
  </si>
  <si>
    <t xml:space="preserve">SIM-075</t>
  </si>
  <si>
    <t xml:space="preserve">Vectorize arsenal W2 cache lookup — replace O(N) Python dict loop with NumPy matrix row slice</t>
  </si>
  <si>
    <t xml:space="preserve">Performance</t>
  </si>
  <si>
    <t xml:space="preserve">ML Engineer + Performance Engineer</t>
  </si>
  <si>
    <t xml:space="preserve">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</si>
  <si>
    <t xml:space="preserve">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</si>
  <si>
    <t xml:space="preserve">SIM-071 (base.py refactor should happen first)</t>
  </si>
  <si>
    <t xml:space="preserve">FATAL SLA risk if not fixed before Phase 4 simulation loop builds on top of the cache.</t>
  </si>
  <si>
    <t xml:space="preserve">Add recency_weight to all three sim pool tables + walk-forward backtesting harness</t>
  </si>
  <si>
    <t xml:space="preserve">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</si>
  <si>
    <t xml:space="preserve">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</si>
  <si>
    <t xml:space="preserve">SIM-084, SIM-133 (closing line for BSS calculation), SIM-048 (registry)</t>
  </si>
  <si>
    <t xml:space="preserve">Phase 3 cannot begin until this validates that the engines are predictive.</t>
  </si>
  <si>
    <t xml:space="preserve">SIM-077</t>
  </si>
  <si>
    <t xml:space="preserve">Join raw.sprint_speed into baserunner and fielder profile computations — replace proxy and hardcoded defaults</t>
  </si>
  <si>
    <t xml:space="preserve">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</si>
  <si>
    <t xml:space="preserve">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</si>
  <si>
    <t xml:space="preserve">etl_sprint_speed_loader.py must have been run for 2022-2025</t>
  </si>
  <si>
    <t xml:space="preserve">The sprint speed table was built specifically to fix this — it's just not wired in yet.</t>
  </si>
  <si>
    <t xml:space="preserve">SIM-078</t>
  </si>
  <si>
    <t xml:space="preserve">Apply quantile normalization to right-skewed OF arm metrics before Z-scoring</t>
  </si>
  <si>
    <t xml:space="preserve">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</si>
  <si>
    <t xml:space="preserve">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</si>
  <si>
    <t xml:space="preserve">SIM-071 (base.py)</t>
  </si>
  <si>
    <t xml:space="preserve">Correctly represents the continuous variation in arm strength that gets compressed by Z-scoring.</t>
  </si>
  <si>
    <t xml:space="preserve">SIM-079</t>
  </si>
  <si>
    <t xml:space="preserve">Add season_weight parameter to calibrate_sigma() — calibration must reflect recency-weighted population</t>
  </si>
  <si>
    <t xml:space="preserve">If recency weighting is applied at query time (SIM-076) but sigma was calibrated without it, the effective score distribution will shift and the target median of 0.50 won't hold. Calibration must sample the same population the simulation queries.</t>
  </si>
  <si>
    <t xml:space="preserve">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</si>
  <si>
    <t xml:space="preserve">SIM-076 (recency weights must be defined first)</t>
  </si>
  <si>
    <t xml:space="preserve">Ensures calibrated sigmas match the actual distribution the simulation samples.</t>
  </si>
  <si>
    <t xml:space="preserve">SIM-080</t>
  </si>
  <si>
    <t xml:space="preserve">Add ordering guard to pitcher engine build() — document GMM/shrinkage dependency</t>
  </si>
  <si>
    <t xml:space="preserve">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</si>
  <si>
    <t xml:space="preserve">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</si>
  <si>
    <t xml:space="preserve">Latent bug guard — prevents future developers from introducing an ordering regression.</t>
  </si>
  <si>
    <t xml:space="preserve">SIM-082</t>
  </si>
  <si>
    <t xml:space="preserve">Fix ON CONFLICT Crash in _upsert_lineup_state()</t>
  </si>
  <si>
    <t xml:space="preserve">Live Pipeline</t>
  </si>
  <si>
    <t xml:space="preserve">Missing unique partial index made every live lineup upsert raise.</t>
  </si>
  <si>
    <t xml:space="preserve">Alembic migration 0002 adds idx_lineup_state_live_game.</t>
  </si>
  <si>
    <t xml:space="preserve">SIM-084</t>
  </si>
  <si>
    <t xml:space="preserve">SIM-083</t>
  </si>
  <si>
    <t xml:space="preserve">Move ETL Freshness DDL into Canonical Schema</t>
  </si>
  <si>
    <t xml:space="preserve">FRESHNESS_TABLE_DDL was a dead string constant; table never existed.</t>
  </si>
  <si>
    <t xml:space="preserve">Migration 0003 creates raw.etl_data_freshness, game_odds, prop_odds, pipeline_run_log.</t>
  </si>
  <si>
    <t xml:space="preserve">Initialize Alembic Migration Framework</t>
  </si>
  <si>
    <t xml:space="preserve">Infrastructure</t>
  </si>
  <si>
    <t xml:space="preserve">No Alembic migrations existed; ~15 schema-change tickets had no path.</t>
  </si>
  <si>
    <t xml:space="preserve">alembic.ini, env.py, 0001 baseline migration, mandatory migration workflow.</t>
  </si>
  <si>
    <t xml:space="preserve">Shipped sprint 2026-05-05. Foundation ticket.</t>
  </si>
  <si>
    <t xml:space="preserve">SIM-085</t>
  </si>
  <si>
    <t xml:space="preserve">Composite situation index on raw.pitches</t>
  </si>
  <si>
    <t xml:space="preserve">Step 1.1 required composite (inning,outs,balls,strikes,on_1b,on_2b,on_3b) index.</t>
  </si>
  <si>
    <t xml:space="preserve">Migration 0005; partial index WHERE clean.</t>
  </si>
  <si>
    <t xml:space="preserve">Shipped sprint 2026-05-06. PM-accepted 2026-05-07.</t>
  </si>
  <si>
    <t xml:space="preserve">SIM-086</t>
  </si>
  <si>
    <t xml:space="preserve">Fix live pipeline venue_id=0 FK violation</t>
  </si>
  <si>
    <t xml:space="preserve">_upsert_game_record inserted 0 sentinel; FK violation silently dropped game.</t>
  </si>
  <si>
    <t xml:space="preserve">Migration 0006 makes venue_id nullable; venue_backfill_job.py.</t>
  </si>
  <si>
    <t xml:space="preserve">SIM-087</t>
  </si>
  <si>
    <t xml:space="preserve">Lower ETL release_speed warning threshold</t>
  </si>
  <si>
    <t xml:space="preserve">70 mph threshold flagged legitimate slow curveballs as bad data.</t>
  </si>
  <si>
    <t xml:space="preserve">Validator 70-&gt;60 mph; trigger 60-&gt;50 mph via migration 0007.</t>
  </si>
  <si>
    <t xml:space="preserve">SIM-088</t>
  </si>
  <si>
    <t xml:space="preserve">Drop idx_pitches_pitch_type — wasted write overhead</t>
  </si>
  <si>
    <t xml:space="preserve">Schema comment said pitch_type is reference-only but standalone index added 15MB/season.</t>
  </si>
  <si>
    <t xml:space="preserve">Migration 0008 DROP INDEX; canonical schema updated; CONCURRENTLY rebuild documented.</t>
  </si>
  <si>
    <t xml:space="preserve">SIM-089</t>
  </si>
  <si>
    <t xml:space="preserve">Composite (pitcher, season) partial index</t>
  </si>
  <si>
    <t xml:space="preserve">Profile-computor hot path scanned all rows for a pitcher across seasons.</t>
  </si>
  <si>
    <t xml:space="preserve">Migration 0009 partial composite index WHERE clean.</t>
  </si>
  <si>
    <t xml:space="preserve">SIM-090</t>
  </si>
  <si>
    <t xml:space="preserve">Replace per-game psycopg2 connect/close with connection pool in ETL</t>
  </si>
  <si>
    <t xml:space="preserve">Each call to _get_conn() opens and closes a new psycopg2.connect() connection. For a full-season backfill of ~2,400 games, this is 2,400 sequential connection handshakes adding 24-120 seconds of pure TCP overhead. The freshness upsert adds a second open/close per game.</t>
  </si>
  <si>
    <t xml:space="preserve">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</si>
  <si>
    <t xml:space="preserve">Deferred from current sprint — useful but not blocking Phase 2 completion.</t>
  </si>
  <si>
    <t xml:space="preserve">SIM-091</t>
  </si>
  <si>
    <t xml:space="preserve">Add detail tables to _delete_seasons()</t>
  </si>
  <si>
    <t xml:space="preserve">Per-play detail tables missing from full-rebuild deletion list.</t>
  </si>
  <si>
    <t xml:space="preserve">Tables enumerated; regression test parses schema for completeness.</t>
  </si>
  <si>
    <t xml:space="preserve">SIM-092</t>
  </si>
  <si>
    <t xml:space="preserve">Deduplicate raw.game_odds inserts</t>
  </si>
  <si>
    <t xml:space="preserve">_persist_odds had no ON CONFLICT; ~360 dup rows per 3-hour game.</t>
  </si>
  <si>
    <t xml:space="preserve">odds_hash SHA-256 column + partial unique index + ON CONFLICT DO NOTHING.</t>
  </si>
  <si>
    <t xml:space="preserve">Shipped sprint 2026-05-07. PM-accepted 2026-05-07. SIM-094 carries forward backfill.</t>
  </si>
  <si>
    <t xml:space="preserve">SIM-093</t>
  </si>
  <si>
    <t xml:space="preserve">Create raw.etl_errors + wire into ETL</t>
  </si>
  <si>
    <t xml:space="preserve">Hard validation errors only logged; no audit trail or reprocessing path.</t>
  </si>
  <si>
    <t xml:space="preserve">Migration 0011 creates raw.etl_errors; _log_etl_errors + reprocess_errored_games.</t>
  </si>
  <si>
    <t xml:space="preserve">Shipped sprint 2026-05-07. PM-accepted 2026-05-07.</t>
  </si>
  <si>
    <t xml:space="preserve">SIM-094</t>
  </si>
  <si>
    <t xml:space="preserve">Add directional HR distance columns to derived.park_factors</t>
  </si>
  <si>
    <t xml:space="preserve">The directional HR model (SIM-055) requires minimum fence distances by spray angle bucket per venue. Current park_factors has no directional columns. BA must confirm spray-angle bucket boundaries before implementation begins.</t>
  </si>
  <si>
    <t xml:space="preserve">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</si>
  <si>
    <t xml:space="preserve">SIM-063 (park_factors PRIMARY KEY change), SIM-084, Baseball Analyst sign-off</t>
  </si>
  <si>
    <t xml:space="preserve">Blocks SIM-055 (directional HR model in simulation loop).</t>
  </si>
  <si>
    <t xml:space="preserve">Implement incremental pitch_pool and outcome_pool rebuild — replace nightly full delete+reinsert</t>
  </si>
  <si>
    <t xml:space="preserve">Nightly full pool rebuild deletes and re-inserts ~700K rows (current season). For a 4-season data set this is 2.8M+ rows, taking ~10 minutes nightly. The incremental path only inserts new rows where game_date &gt; last_built, reducing nightly cost to ~30 seconds.</t>
  </si>
  <si>
    <t xml:space="preserve">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</si>
  <si>
    <t xml:space="preserve">SIM-076 (pool_build_metadata table shared for recency weight tracking)</t>
  </si>
  <si>
    <t xml:space="preserve">Operational necessity once historical data grows — without this, nightly batch becomes untenable.</t>
  </si>
  <si>
    <t xml:space="preserve">SIM-096</t>
  </si>
  <si>
    <t xml:space="preserve">Create SQLAlchemy async models for API-facing tables — db/models/ is empty</t>
  </si>
  <si>
    <t xml:space="preserve">Backend API</t>
  </si>
  <si>
    <t xml:space="preserve">Data Engineer + Backend Developer</t>
  </si>
  <si>
    <t xml:space="preserve">db/models/ is empty. The Phase 5 API needs SQLAlchemy async models for the tables its endpoints query. ETL and profile computor continue using psycopg2/asyncpg/DuckDB directly — models are only needed for the API layer.</t>
  </si>
  <si>
    <t xml:space="preserve">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</si>
  <si>
    <t xml:space="preserve">SIM-084 (Alembic — models must match migrated schema), SIM-133, SIM-134</t>
  </si>
  <si>
    <t xml:space="preserve">Only needed for API layer. ETL scripts intentionally bypass ORM for performance.</t>
  </si>
  <si>
    <t xml:space="preserve">SIM-097</t>
  </si>
  <si>
    <t xml:space="preserve">Fix manager concurrent replacement race condition — add SELECT FOR UPDATE row lock</t>
  </si>
  <si>
    <t xml:space="preserve">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</si>
  <si>
    <t xml:space="preserve">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</si>
  <si>
    <t xml:space="preserve">Low urgency until parallel backfill is implemented. Deferred to Phase 5 async migration.</t>
  </si>
  <si>
    <t xml:space="preserve">SIM-098</t>
  </si>
  <si>
    <t xml:space="preserve">Implement pipeline observability baseline: raw.pipeline_run_log, freshness staleness alert, Prometheus counters</t>
  </si>
  <si>
    <t xml:space="preserve">No monitoring infrastructure exists for the data pipeline. A nightly profile computor failure would not alert anyone. For a production betting platform with time-sensitive data freshness requirements, silent failures are unacceptable.</t>
  </si>
  <si>
    <t xml:space="preserve">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</si>
  <si>
    <t xml:space="preserve">SIM-084 (Alembic)</t>
  </si>
  <si>
    <t xml:space="preserve">Instrumentation hooks must exist in Phase 5 — retrofitting monitoring after Phase 7 deploy is too late.</t>
  </si>
  <si>
    <t xml:space="preserve">SIM-099</t>
  </si>
  <si>
    <t xml:space="preserve">Fix Redis Key Mismatch (rate-limit fallback)</t>
  </si>
  <si>
    <t xml:space="preserve">_cache_to_redis wrote game_state:{pk} but _fetch_feed read game_feed:{pk}.</t>
  </si>
  <si>
    <t xml:space="preserve">Both keys now written; second pitcher_id assignment removed.</t>
  </si>
  <si>
    <t xml:space="preserve">SIM-100</t>
  </si>
  <si>
    <t xml:space="preserve">Fix GameStateBuilder roster parsing (4 bugs)</t>
  </si>
  <si>
    <t xml:space="preserve">N+1 days_rest queries; wrong availability; dead code; wrong date anchor.</t>
  </si>
  <si>
    <t xml:space="preserve">_batch_days_rest single query; corrected availability; game_date param.</t>
  </si>
  <si>
    <t xml:space="preserve">SIM-101</t>
  </si>
  <si>
    <t xml:space="preserve">Per-game GameStateBuilder cache + incremental play history</t>
  </si>
  <si>
    <t xml:space="preserve">_parse_play_history rebuilt full history every WS message (O(N)).</t>
  </si>
  <si>
    <t xml:space="preserve">Per-game builder cache; incremental parse from last_at_bat_index.</t>
  </si>
  <si>
    <t xml:space="preserve">SIM-099, SIM-100</t>
  </si>
  <si>
    <t xml:space="preserve">SIM-102</t>
  </si>
  <si>
    <t xml:space="preserve">Fix _infer_role() opener misclassification</t>
  </si>
  <si>
    <t xml:space="preserve">IP-only thresholds classified openers as MRP.</t>
  </si>
  <si>
    <t xml:space="preserve">Added Opener bucket using battersFaced; SP -&gt; Opener -&gt; MRP -&gt; RP.</t>
  </si>
  <si>
    <t xml:space="preserve">Shipped sprint 2026-05-07. PM-accepted 2026-05-07. Temporary until SIM-057.</t>
  </si>
  <si>
    <t xml:space="preserve">SIM-103</t>
  </si>
  <si>
    <t xml:space="preserve">ConnectionManager.broadcast() set snapshot</t>
  </si>
  <si>
    <t xml:space="preserve">Iteration over live set raised RuntimeError on concurrent connect/disconnect.</t>
  </si>
  <si>
    <t xml:space="preserve">Snapshot via set(live_subs) before iterating.</t>
  </si>
  <si>
    <t xml:space="preserve">SIM-104</t>
  </si>
  <si>
    <t xml:space="preserve">Add Redis-based rate limiting to /resimulate</t>
  </si>
  <si>
    <t xml:space="preserve">No debouncing on manual resimulate endpoint.</t>
  </si>
  <si>
    <t xml:space="preserve">Per-game Redis cooldown; 429 with retry_after_seconds; SIM-109 envelope.</t>
  </si>
  <si>
    <t xml:space="preserve">Redis lifecycle</t>
  </si>
  <si>
    <t xml:space="preserve">SIM-105</t>
  </si>
  <si>
    <t xml:space="preserve">Skip redundant upserts for completed games</t>
  </si>
  <si>
    <t xml:space="preserve">_sync_live_games called _upsert for finished games on every poll.</t>
  </si>
  <si>
    <t xml:space="preserve">_completed_games skip set + boot-time hydration from raw.games.</t>
  </si>
  <si>
    <t xml:space="preserve">SIM-106</t>
  </si>
  <si>
    <t xml:space="preserve">Enforce async callable type on simulation_callback</t>
  </si>
  <si>
    <t xml:space="preserve">Callable | None could be a sync fn; failure was hard to diagnose.</t>
  </si>
  <si>
    <t xml:space="preserve">SimulationCallback type alias + iscoroutinefunction guard at __init__.</t>
  </si>
  <si>
    <t xml:space="preserve">SIM-107</t>
  </si>
  <si>
    <t xml:space="preserve">Create tests/unit/test_live_ingestion_pipeline.py — 7 BE bugs, 0% coverage</t>
  </si>
  <si>
    <t xml:space="preserve">Backend Developer + QA/DevOps</t>
  </si>
  <si>
    <t xml:space="preserve">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</si>
  <si>
    <t xml:space="preserve">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</si>
  <si>
    <t xml:space="preserve">SIM-099, SIM-100, SIM-101, SIM-102, SIM-103 (bugs fixed first), SIM-152 (conftest)</t>
  </si>
  <si>
    <t xml:space="preserve">Most complex component in Phase 2 scope with zero coverage — highest testing priority.</t>
  </si>
  <si>
    <t xml:space="preserve">Define play pool query API column contracts before Phase 3 delivery</t>
  </si>
  <si>
    <t xml:space="preserve">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</si>
  <si>
    <t xml:space="preserve">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</si>
  <si>
    <t xml:space="preserve">SIM-076 (recency_weight column must exist)</t>
  </si>
  <si>
    <t xml:space="preserve">Phase 4 cannot be correctly implemented without this contract being locked.</t>
  </si>
  <si>
    <t xml:space="preserve">SIM-113</t>
  </si>
  <si>
    <t xml:space="preserve">Fix GMM batch pipeline performance: dynamic n_workers, eliminate per-pitcher IPC, batch DuckDB writes</t>
  </si>
  <si>
    <t xml:space="preserve">Performance Engineer + Data Engineer</t>
  </si>
  <si>
    <t xml:space="preserve">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</si>
  <si>
    <t xml:space="preserve">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</si>
  <si>
    <t xml:space="preserve">Makes the nightly batch job tractable before it's run against real multi-season data.</t>
  </si>
  <si>
    <t xml:space="preserve">SIM-114</t>
  </si>
  <si>
    <t xml:space="preserve">FAISS index design spec: IVFFlat, nprobe, pre-filter requirement, and shared memory strategy</t>
  </si>
  <si>
    <t xml:space="preserve">Performance Engineer + ML Engineer</t>
  </si>
  <si>
    <t xml:space="preserve">The current spec says 'FAISS flat index' which at 1M rows would produce ~300 seconds per 100-game batch — 10× over SLA. This ticket produces a written design spec (not implementation) that must be locked before Phase 3 builds the indexes.</t>
  </si>
  <si>
    <t xml:space="preserve">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</si>
  <si>
    <t xml:space="preserve">FATAL SLA risk if deferred — wrong choice here makes the 30s target unachievable.</t>
  </si>
  <si>
    <t xml:space="preserve">Prune DuckDB sim pool indexes — keep 3 query-path indexes, drop 8 write-overhead indexes</t>
  </si>
  <si>
    <t xml:space="preserve">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</si>
  <si>
    <t xml:space="preserve">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</si>
  <si>
    <t xml:space="preserve">SIM-111 (play pool query contracts must be confirmed first)</t>
  </si>
  <si>
    <t xml:space="preserve">Do not drop indexes until SIM-111 access patterns are confirmed — dropping the wrong index causes a regression.</t>
  </si>
  <si>
    <t xml:space="preserve">Create performance benchmark harness — without measurement, SLA targets are estimates</t>
  </si>
  <si>
    <t xml:space="preserve">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</si>
  <si>
    <t xml:space="preserve">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</si>
  <si>
    <t xml:space="preserve">SIM-075 (must be benchmarked after vectorization), SIM-147 (pytest config)</t>
  </si>
  <si>
    <t xml:space="preserve">All PE recommendations are hypothetical until this exists. Build it now, validate Phase 4 later.</t>
  </si>
  <si>
    <t xml:space="preserve">SIM-119</t>
  </si>
  <si>
    <t xml:space="preserve">Define per-step time budget for the 8-step simulation loop</t>
  </si>
  <si>
    <t xml:space="preserve">Performance Engineer + Backend Developer</t>
  </si>
  <si>
    <t xml:space="preserve">The 2s single-game SLA has no per-step budget. Without step budgets, Phase 4 has no way to know if each step is on track during implementation. Each step must have a pytest-benchmark assertion as part of its acceptance criteria.</t>
  </si>
  <si>
    <t xml:space="preserve">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</si>
  <si>
    <t xml:space="preserve">SIM-118 (benchmark harness infrastructure)</t>
  </si>
  <si>
    <t xml:space="preserve">Step budgets convert the 30s SLA from a post-hoc check into a per-step implementation requirement.</t>
  </si>
  <si>
    <t xml:space="preserve">SIM-120</t>
  </si>
  <si>
    <t xml:space="preserve">Benchmark ProcessPoolExecutor vs ThreadPoolExecutor for simulation runner before Phase 5 commits</t>
  </si>
  <si>
    <t xml:space="preserve">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</si>
  <si>
    <t xml:space="preserve">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</si>
  <si>
    <t xml:space="preserve">Phase 4 simulate_game() must be implemented first</t>
  </si>
  <si>
    <t xml:space="preserve">If threads work, eliminates the entire shared memory complexity of the process pool approach.</t>
  </si>
  <si>
    <t xml:space="preserve">SIM-127</t>
  </si>
  <si>
    <t xml:space="preserve">Define simulation staleness system: last-updated timestamp, amber indicator, loading states, empty states</t>
  </si>
  <si>
    <t xml:space="preserve">Frontend</t>
  </si>
  <si>
    <t xml:space="preserve">UX Designer + Backend Developer</t>
  </si>
  <si>
    <t xml:space="preserve">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</si>
  <si>
    <t xml:space="preserve">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</si>
  <si>
    <t xml:space="preserve">SIM-112 (simulated_at and confidence_interval fields), SIM-125/126 (layout wireframes)</t>
  </si>
  <si>
    <t xml:space="preserve">Betting-critical: users making financial decisions must know the age and reliability of displayed data.</t>
  </si>
  <si>
    <t xml:space="preserve">SIM-128</t>
  </si>
  <si>
    <t xml:space="preserve">Redesign override panel as staged-change queue with undo, multi-change, visual indicator system</t>
  </si>
  <si>
    <t xml:space="preserve">The current override spec supports only one substitution at a time with no undo. Real managerial decisions involve multiple simultaneous changes. The visual indicator for override mode is required but not designed. This is the most complex UI component in the entire platform.</t>
  </si>
  <si>
    <t xml:space="preserve">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</si>
  <si>
    <t xml:space="preserve">SIM-109 (multi-substitution API endpoint), SIM-126 (Game Page layout — override drawer position)</t>
  </si>
  <si>
    <t xml:space="preserve">Most complex UI component — must be fully spec'd before Phase 6 Step 6.5 begins.</t>
  </si>
  <si>
    <t xml:space="preserve">SIM-129</t>
  </si>
  <si>
    <t xml:space="preserve">Add distribution views to ScoreDistributionChart and ProjectedBoxscore — averages lose prop signal</t>
  </si>
  <si>
    <t xml:space="preserve">UX Designer + Betting Analyst</t>
  </si>
  <si>
    <t xml:space="preserve">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</si>
  <si>
    <t xml:space="preserve">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</si>
  <si>
    <t xml:space="preserve">SIM-112 (raw per-iteration lists), SIM-124 (Betting Analyst input on distribution display)</t>
  </si>
  <si>
    <t xml:space="preserve">The core CLV display feature — this is how the platform's prop predictions are validated against markets.</t>
  </si>
  <si>
    <t xml:space="preserve">SIM-130</t>
  </si>
  <si>
    <t xml:space="preserve">Spec additions for Day Summary page: card lineup collapse, field graphic label rules, date navigation zones</t>
  </si>
  <si>
    <t xml:space="preserve">Three spec gaps in the Day Summary page: (1) the in-progress card with two full lineups is physically unrenderable as a card; (2) the field graphic has no label collision rules or vacancy handling; (3) date navigation has no backward limit or historical mode definition.</t>
  </si>
  <si>
    <t xml:space="preserve">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</si>
  <si>
    <t xml:space="preserve">SIM-125 (mobile wireframes), SIM-126 (Game Page layout)</t>
  </si>
  <si>
    <t xml:space="preserve">Spec additions for Phase 6 Steps 6.2 and 6.3 — required before those steps begin implementation.</t>
  </si>
  <si>
    <t xml:space="preserve">SIM-131</t>
  </si>
  <si>
    <t xml:space="preserve">Define WebSocket live update state machine and play-by-play virtualization requirements</t>
  </si>
  <si>
    <t xml:space="preserve">No spec defines what happens to page state when live WebSocket updates arrive while the user is viewing a historical play. The play-by-play list has no virtualization spec. A 9-inning game with 400+ list items has rendering performance issues without virtual scrolling.</t>
  </si>
  <si>
    <t xml:space="preserve">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</si>
  <si>
    <t xml:space="preserve">SIM-109 (WS channel architecture), SIM-126 (Game Page layout)</t>
  </si>
  <si>
    <t xml:space="preserve">Required for Phase 6 Steps 6.3 and 6.4 correctness. WS state machine spec must precede implementation.</t>
  </si>
  <si>
    <t xml:space="preserve">SIM-132</t>
  </si>
  <si>
    <t xml:space="preserve">Fix MockOddsAPI Zero-Vig + resim doc</t>
  </si>
  <si>
    <t xml:space="preserve">Implied probs summed to exactly 1.0 (no vig); architecture comment lied.</t>
  </si>
  <si>
    <t xml:space="preserve">vig in [0.06, 0.10]; comment fixed.</t>
  </si>
  <si>
    <t xml:space="preserve">Shipped sprint 2026-05-05. SIM-096 follow-up tightens RNG floor.</t>
  </si>
  <si>
    <t xml:space="preserve">SIM-133</t>
  </si>
  <si>
    <t xml:space="preserve">Extend raw.game_odds for CLV</t>
  </si>
  <si>
    <t xml:space="preserve">No line_type / book / market_type / is_sharp_book columns.</t>
  </si>
  <si>
    <t xml:space="preserve">Four CLV columns added via migration 0003 (combined w/ SIM-083).</t>
  </si>
  <si>
    <t xml:space="preserve">SIM-134</t>
  </si>
  <si>
    <t xml:space="preserve">raw.prop_odds CHECK + MockOddsAPI prop lines</t>
  </si>
  <si>
    <t xml:space="preserve">Data Engineer + Betting Analyst</t>
  </si>
  <si>
    <t xml:space="preserve">prop_type had no CHECK; MockOddsAPI had no prop method.</t>
  </si>
  <si>
    <t xml:space="preserve">Migration 0004; 7-value CHECK; MockOddsAPI.get_prop_odds; compound index.</t>
  </si>
  <si>
    <t xml:space="preserve">SIM-138</t>
  </si>
  <si>
    <t xml:space="preserve">Nightly Opening Line Ingestion Job</t>
  </si>
  <si>
    <t xml:space="preserve">Opening lines lost permanently each missing day.</t>
  </si>
  <si>
    <t xml:space="preserve">OpeningLineJob (cron + APScheduler); 7-day lookahead.</t>
  </si>
  <si>
    <t xml:space="preserve">SIM-133, SIM-134</t>
  </si>
  <si>
    <t xml:space="preserve">SIM-139</t>
  </si>
  <si>
    <t xml:space="preserve">Define real odds integration spec: provider, cadence, multi-book hierarchy, prop timing</t>
  </si>
  <si>
    <t xml:space="preserve">Betting Infrastructure</t>
  </si>
  <si>
    <t xml:space="preserve">Betting Analyst + Data Engineer</t>
  </si>
  <si>
    <t xml:space="preserve">Phase 7 says 'swap in a real odds provider' with no spec for which provider, cadence, or multi-book methodology. Without this spec in Phase 5, the schema and ingestion architecture won't support CLV measurement when Phase 7 arrives.</t>
  </si>
  <si>
    <t xml:space="preserve">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</si>
  <si>
    <t xml:space="preserve">SIM-133 (book and line_type columns), SIM-134 (raw.prop_odds table)</t>
  </si>
  <si>
    <t xml:space="preserve">The 'replace one function' comment in live_ingestion_pipeline.py will produce a broken CLV system without this spec.</t>
  </si>
  <si>
    <t xml:space="preserve">SIM-141</t>
  </si>
  <si>
    <t xml:space="preserve">Create betting/vig_removal.py — define multiplicative vig removal as the platform standard</t>
  </si>
  <si>
    <t xml:space="preserve">Betting Analyst + Backend Developer</t>
  </si>
  <si>
    <t xml:space="preserve">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</si>
  <si>
    <t xml:space="preserve">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</si>
  <si>
    <t xml:space="preserve">Foundational utility — must exist before CLV framework (SIM-136) or edge fields (SIM-112) are implemented.</t>
  </si>
  <si>
    <t xml:space="preserve">SIM-142</t>
  </si>
  <si>
    <t xml:space="preserve">Spec live betting edge detection — live line ingestion, live edge threshold, WS signal delivery</t>
  </si>
  <si>
    <t xml:space="preserve">The live simulation (post-PA resim) is uniquely positioned to identify mispriced live lines immediately after significant plays before books adjust. This ticket produces a written spec — not implemented code. Implementation is Phase 7.</t>
  </si>
  <si>
    <t xml:space="preserve">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</si>
  <si>
    <t xml:space="preserve">SIM-136 (pre-game CLV must be validated before live edge is attempted)</t>
  </si>
  <si>
    <t xml:space="preserve">Spec only for Phase 7. Live betting is lower priority than validating pre-game edge first.</t>
  </si>
  <si>
    <t xml:space="preserve">SIM-143</t>
  </si>
  <si>
    <t xml:space="preserve">CLV dashboard API endpoint: GET /api/betting/clv/summary with segment breakdown</t>
  </si>
  <si>
    <t xml:space="preserve">Backend Developer + Betting Analyst</t>
  </si>
  <si>
    <t xml:space="preserve">The CLV dashboard is how the platform measures whether it's actually working. Without it, there is no operational visibility into simulation edge quality. This endpoint is the primary instrument panel for validating and monitoring the platform's primary use case.</t>
  </si>
  <si>
    <t xml:space="preserve">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</si>
  <si>
    <t xml:space="preserve">SIM-135 (bet_log table), SIM-136 (CLV computation), SIM-109 (API structure)</t>
  </si>
  <si>
    <t xml:space="preserve">This endpoint makes CLV measurable operationally, not just in backtesting.</t>
  </si>
  <si>
    <t xml:space="preserve">SIM-145</t>
  </si>
  <si>
    <t xml:space="preserve">Docker / CI Infrastructure</t>
  </si>
  <si>
    <t xml:space="preserve">Data Engineer + QA/DevOps</t>
  </si>
  <si>
    <t xml:space="preserve">Empty requirements.txt, no Dockerfile, no integration tests.</t>
  </si>
  <si>
    <t xml:space="preserve">Dockerfile, docker-compose, Makefile, requirements pinned, integration tests.</t>
  </si>
  <si>
    <t xml:space="preserve">SIM-146</t>
  </si>
  <si>
    <t xml:space="preserve">GitHub Actions CI Pipeline</t>
  </si>
  <si>
    <t xml:space="preserve">No .github/workflows/; every push required manual validation.</t>
  </si>
  <si>
    <t xml:space="preserve">.github/workflows/ci.yml + docker-release.yml + integration-weekly.yml.</t>
  </si>
  <si>
    <t xml:space="preserve">SIM-147</t>
  </si>
  <si>
    <t xml:space="preserve">Similarity Engine Regression Gate</t>
  </si>
  <si>
    <t xml:space="preserve">5 new engines had no drift-detection on CI.</t>
  </si>
  <si>
    <t xml:space="preserve">tests/regression/ with 54 tests across 9 classes; golden files.</t>
  </si>
  <si>
    <t xml:space="preserve">SIM-148</t>
  </si>
  <si>
    <t xml:space="preserve">test_pitcher_similarity vacuous assertion + _score_pair guard</t>
  </si>
  <si>
    <t xml:space="preserve">ML Engineer + QA/DevOps</t>
  </si>
  <si>
    <t xml:space="preserve">release_score asserts were vacuous; no _score_pair shape regression.</t>
  </si>
  <si>
    <t xml:space="preserve">Removed dead asserts; added 3-tuple regression; doctest sentinel.</t>
  </si>
  <si>
    <t xml:space="preserve">Shipped sprint 2026-05-07. PM-accepted with documented `len==3` deviation from ticket-text `len==4`.</t>
  </si>
  <si>
    <t xml:space="preserve">SIM-149</t>
  </si>
  <si>
    <t xml:space="preserve">Create tests/unit/test_baserunner_similarity.py — engine marked complete but untested</t>
  </si>
  <si>
    <t xml:space="preserve">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</si>
  <si>
    <t xml:space="preserve">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</si>
  <si>
    <t xml:space="preserve">SIM-070, SIM-077 (bugs must be fixed first)</t>
  </si>
  <si>
    <t xml:space="preserve">Phase 2 cannot be closed without this file.</t>
  </si>
  <si>
    <t xml:space="preserve">SIM-150</t>
  </si>
  <si>
    <t xml:space="preserve">Extend test_similarity_calibration.py to cover all 5 MLE calibration bugs</t>
  </si>
  <si>
    <t xml:space="preserve">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</si>
  <si>
    <t xml:space="preserve">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</si>
  <si>
    <t xml:space="preserve">SIM-066, SIM-067, SIM-068, SIM-069, SIM-073 (bugs fixed first)</t>
  </si>
  <si>
    <t xml:space="preserve">Retroactive regression coverage — prevents all 5 calibration bugs from re-appearing.</t>
  </si>
  <si>
    <t xml:space="preserve">SIM-151</t>
  </si>
  <si>
    <t xml:space="preserve">Add error-path tests to ETL test suite — 163 existing tests are all happy-path</t>
  </si>
  <si>
    <t xml:space="preserve">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</si>
  <si>
    <t xml:space="preserve">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</si>
  <si>
    <t xml:space="preserve">SIM-082, SIM-083, SIM-086, SIM-087, SIM-092 (bugs fixed first)</t>
  </si>
  <si>
    <t xml:space="preserve">Error-path tests are where production systems fail — these must exist.</t>
  </si>
  <si>
    <t xml:space="preserve">SIM-152</t>
  </si>
  <si>
    <t xml:space="preserve">Create tests/conftest.py with shared fixtures — eliminate 3× duplicated profile builders</t>
  </si>
  <si>
    <t xml:space="preserve">Each of the three similarity test files re-implements its own _make_profile(), _make_gmm(), _build_synthetic_engine() helpers. No conftest.py exists at any level of the test tree. When new engines are added (catcher, pitcher-steal), developers must read all files and re-implement from scratch.</t>
  </si>
  <si>
    <t xml:space="preserve">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</si>
  <si>
    <t xml:space="preserve">SIM-147 (pyproject.toml), SIM-071 (import paths)</t>
  </si>
  <si>
    <t xml:space="preserve">Maintenance improvement — the pattern is correct, it just needs to be centralized.</t>
  </si>
  <si>
    <t xml:space="preserve">SIM-153</t>
  </si>
  <si>
    <t xml:space="preserve">Secrets management baseline</t>
  </si>
  <si>
    <t xml:space="preserve">QA/DevOps + Backend Developer</t>
  </si>
  <si>
    <t xml:space="preserve">Bare DSN strings; no env-var pattern; no startup validation; no CI secret check.</t>
  </si>
  <si>
    <t xml:space="preserve">validate_environment + env-fallback DSN + CI secrets-check job.</t>
  </si>
  <si>
    <t xml:space="preserve">SIM-154</t>
  </si>
  <si>
    <t xml:space="preserve">Add model regression gate to CI — run diagnostics on every PR; fail on calibration drift</t>
  </si>
  <si>
    <t xml:space="preserve">similarity_diagnostics.py already exits with code 1 on diagnostic flags — it just needs to be wired into CI. When SIM-072 (pitcher RBF upgrade) or SIM-073 (EB_N_PRIOR change) shift engine score distributions, this gate catches any unexpected drift immediately on the PR.</t>
  </si>
  <si>
    <t xml:space="preserve">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</si>
  <si>
    <t xml:space="preserve">SIM-050 (fielder diagnostics merged), SIM-146 (CI exists), SIM-147 (pytest config)</t>
  </si>
  <si>
    <t xml:space="preserve">Prevents the most expensive class of bugs — silent calibration drift from engine changes.</t>
  </si>
  <si>
    <t xml:space="preserve">SIM-155</t>
  </si>
  <si>
    <t xml:space="preserve">Create integration test suite — minimum viable ETL→profiles→engine cross-component flow</t>
  </si>
  <si>
    <t xml:space="preserve">QA/DevOps + Data Engineer</t>
  </si>
  <si>
    <t xml:space="preserve">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</si>
  <si>
    <t xml:space="preserve">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</si>
  <si>
    <t xml:space="preserve">SIM-145 (Docker), SIM-084 (Alembic), SIM-082/083 (bugs fixed)</t>
  </si>
  <si>
    <t xml:space="preserve">Must be complete before Phase 3 play pool architecture builds on top of the pipeline chain.</t>
  </si>
  <si>
    <t xml:space="preserve">SIM-156</t>
  </si>
  <si>
    <t xml:space="preserve">Create schema contract tests — assert engine feature names map to DuckDB schema columns</t>
  </si>
  <si>
    <t xml:space="preserve">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</si>
  <si>
    <t xml:space="preserve">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</si>
  <si>
    <t xml:space="preserve">SIM-071 (consistent import paths to engine feature lists), SIM-147</t>
  </si>
  <si>
    <t xml:space="preserve">Static tests — extremely cheap to run and catch an entire class of subtle bugs.</t>
  </si>
  <si>
    <t xml:space="preserve">SIM-200</t>
  </si>
  <si>
    <t xml:space="preserve">Step 3b: Catcher Framing Bias on Shadow-Zone Takes</t>
  </si>
  <si>
    <t xml:space="preserve">Phase 4 placeholder</t>
  </si>
  <si>
    <t xml:space="preserve">Phase 4 design constraint</t>
  </si>
  <si>
    <t xml:space="preserve">S (when Phase 4 lands)</t>
  </si>
  <si>
    <t xml:space="preserve">Backend Developer + ML Engineer + Baseball Analyst</t>
  </si>
  <si>
    <t xml:space="preserve">Yes</t>
  </si>
  <si>
    <t xml:space="preserve">When Step 3b is built, the called-strike vs called-ball decision must incorporate catcher framing skill scoped to the shadow zone.</t>
  </si>
  <si>
    <t xml:space="preserve">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</si>
  <si>
    <t xml:space="preserve">Phase 4 simulation loop scaffolding</t>
  </si>
  <si>
    <t xml:space="preserve">Forward-looking placeholder; do NOT ship standalone.</t>
  </si>
  <si>
    <t xml:space="preserve">Step 3b: Catcher Blocking Coefficient on Dirt-Pitch Outcomes</t>
  </si>
  <si>
    <t xml:space="preserve">When Step 3b resolves to ball-in-dirt with runner(s) on, catcher blocking skill must influence WP/PB probability and runner advancement.</t>
  </si>
  <si>
    <t xml:space="preserve">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</si>
  <si>
    <t xml:space="preserve">SIM-157</t>
  </si>
  <si>
    <t xml:space="preserve">Backfill legacy odds_hash + dedup pass on raw.game_odds</t>
  </si>
  <si>
    <t xml:space="preserve">SIM-092 added odds_hash + partial unique index but only enforces going forward. Pre-SIM-092 rows have NULL odds_hash and contain duplicates, inflating CLV row counts and slowing scans.</t>
  </si>
  <si>
    <t xml:space="preserve">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</si>
  <si>
    <t xml:space="preserve">SIM-092 (column + index already shipped)</t>
  </si>
  <si>
    <t xml:space="preserve">Created 2026-05-08 from SIM-092 carry-forward. Renumbered from SIM-094 to avoid collision with the existing Phase 2 polish ticket.</t>
  </si>
  <si>
    <t xml:space="preserve">SIM-158</t>
  </si>
  <si>
    <t xml:space="preserve">Run EXPLAIN ANALYZE acceptance gates for SIM-085 + SIM-089</t>
  </si>
  <si>
    <t xml:space="preserve">Validation</t>
  </si>
  <si>
    <t xml:space="preserve">SIM-085 (composite situation index) and SIM-089 ((pitcher, season) partial index) shipped with their acceptance gates expressed but not executed — sandbox lacked a populated DB. Once a 2024 staging DB exists, run the gates and record results.</t>
  </si>
  <si>
    <t xml:space="preserve">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</si>
  <si>
    <t xml:space="preserve">SIM-085, SIM-089, populated 2024 staging DB</t>
  </si>
  <si>
    <t xml:space="preserve">Created 2026-05-08 from PM acceptance review. Renumbered from SIM-095 to avoid collision with the existing pitch_pool incremental ticket.</t>
  </si>
  <si>
    <t xml:space="preserve">SIM-159</t>
  </si>
  <si>
    <t xml:space="preserve">Tighten SIM-132 vig RNG so moneyline boundary test is no longer flaky</t>
  </si>
  <si>
    <t xml:space="preserve">S (&lt;1 day)</t>
  </si>
  <si>
    <t xml:space="preserve">MockOddsAPI samples vig from rng.uniform(0.06, 0.10). Overround = 1 + vig/2 ∈ [1.030, 1.050]. Regression test asserts strict &gt; 1.03; for game_pk=12345 the inflation path produces 1.0286.</t>
  </si>
  <si>
    <t xml:space="preserve">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</si>
  <si>
    <t xml:space="preserve">SIM-132 (already shipped)</t>
  </si>
  <si>
    <t xml:space="preserve">Created 2026-05-08 from PM acceptance review. Renumbered from SIM-096 to avoid collision with the existing async-models ticket.</t>
  </si>
  <si>
    <t xml:space="preserve">SIM-160</t>
  </si>
  <si>
    <t xml:space="preserve">Verify raw.pitches.bat_side populated for all loaded seasons</t>
  </si>
  <si>
    <t xml:space="preserve">Open — Sprint 2026-05-20</t>
  </si>
  <si>
    <t xml:space="preserve">SIM-042 ships SIM-051-aware but SIM-051's pull_relative_spray_angle formula requires bat_side to be non-NULL on every row. Confirm bat_side coverage on raw.pitches is ≥ 99 % for every loaded season and add a backfill/ETL fix if not.</t>
  </si>
  <si>
    <t xml:space="preserve">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</si>
  <si>
    <t xml:space="preserve">Blocks SIM-051</t>
  </si>
  <si>
    <t xml:space="preserve">Generated as a SIM-042 follow-up at 2026-05-14 sprint close.</t>
  </si>
  <si>
    <t xml:space="preserve">SIM-161</t>
  </si>
  <si>
    <t xml:space="preserve">Live EXPLAIN ANALYZE run for SIM-085 + SIM-089</t>
  </si>
  <si>
    <t xml:space="preserve">Staging 2024 data load</t>
  </si>
  <si>
    <t xml:space="preserve">SIM-158 shipped the harness + acceptance doc placeholder; the live EXPLAIN ANALYZE round-trip was deferred because staging didn't yet hold 2024 data. Once staging is loaded, run the harness and capture the plans.</t>
  </si>
  <si>
    <t xml:space="preserve">1. scripts/run_index_acceptance.py exits 0 against staging.
2. Both gates pass per SIM-085 / SIM-089 acceptance criteria.
3. The Markdown report is committed to the repo.
4. If either gate fails, file a follow-up and revert the index claim from CHANGES.md per SIM-158 AC #4.</t>
  </si>
  <si>
    <t xml:space="preserve">SIM-158 (harness shipped)</t>
  </si>
  <si>
    <t xml:space="preserve">Generated as a SIM-158 follow-up at 2026-05-14 sprint close.</t>
  </si>
  <si>
    <t xml:space="preserve">SIM-162</t>
  </si>
  <si>
    <t xml:space="preserve">Restore truncated LeagueAverageProfiles.compute() in player_profile_computor.py</t>
  </si>
  <si>
    <t xml:space="preserve">Bug Fix</t>
  </si>
  <si>
    <t xml:space="preserve">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</si>
  <si>
    <t xml:space="preserve">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</si>
  <si>
    <t xml:space="preserve">Raised during SIM-073 verification on 2026-05-14. Pre-existing local edit, not collateral from sprint 2026-05-13.</t>
  </si>
  <si>
    <t xml:space="preserve">SIM-300</t>
  </si>
  <si>
    <t xml:space="preserve">Play-pool architecture spec (Phase 3 §10)</t>
  </si>
  <si>
    <t xml:space="preserve">Spec</t>
  </si>
  <si>
    <t xml:space="preserve">Backend Developer + ML Engineer</t>
  </si>
  <si>
    <t xml:space="preserve">Reconstructed play-pool architecture spec defining the pre-filter contract, FAISS sub-index materialization, recency lifecycle, the four-method PlayPoolSampler API, and the &lt;=2 GB RAM budget. Keystone that unblocks SIM-301/302.</t>
  </si>
  <si>
    <t xml:space="preserve">Doc lives at docs/architecture/2026-05-20-play-pool.md; defines the SIM-301/302 contract; &lt;=2 GB envelope.</t>
  </si>
  <si>
    <t xml:space="preserve">Rebuilt 2026-05-20 after OneDrive truncation (HANDOFF §7). Sprint 2026-05-27.</t>
  </si>
  <si>
    <t xml:space="preserve">Play-pool nightly cache serializer (Phase 3 §10)</t>
  </si>
  <si>
    <t xml:space="preserve">Materialize the pre-filtered FAISS indexes per (pitcher_id, batter_handedness) tile onto disk so the API can hot-load them at startup. Defined in docs/architecture/2026-05-20-play-pool.md §10.</t>
  </si>
  <si>
    <t xml:space="preserve">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</si>
  <si>
    <t xml:space="preserve">SIM-300 spec</t>
  </si>
  <si>
    <t xml:space="preserve">First Phase 3 deliverable. Backend lead.</t>
  </si>
  <si>
    <t xml:space="preserve">PlayPoolSampler API surface (Phase 3 §11)</t>
  </si>
  <si>
    <t xml:space="preserve">Define and implement the four-method PlayPoolSampler class that the simulation loop will call. Hot-loads cached FAISS tiles and serves k-nearest queries with metadata.</t>
  </si>
  <si>
    <t xml:space="preserve">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</si>
  <si>
    <t xml:space="preserve">SIM-301 cache files</t>
  </si>
  <si>
    <t xml:space="preserve">BE+ML joint lead.</t>
  </si>
  <si>
    <t xml:space="preserve">Centralize run-value constants in simulation/constants.py</t>
  </si>
  <si>
    <t xml:space="preserve">Phase 4 Prep</t>
  </si>
  <si>
    <t xml:space="preserve">Run-value constants (single, double, HR, walk, K, etc.) are referenced by multiple modules but not centralized. Phase 4 sim loop will need a single source of truth.</t>
  </si>
  <si>
    <t xml:space="preserve">1. simulation/constants.py defines RUN_VALUES dict with Tango/Tom-style linear weights for 2024 baseline.
2. Sourced from Baseball Analyst review (cite source).
3. Replace inline constants throughout the codebase.
4. Unit test asserts dict has all 12 standard PA outcomes.</t>
  </si>
  <si>
    <t xml:space="preserve">Trivial but prerequisite for Phase 4 cleanup.</t>
  </si>
  <si>
    <t xml:space="preserve">Per-engine RAM budget within 2 GB envelope</t>
  </si>
  <si>
    <t xml:space="preserve">Allocate RAM budget per engine + play-pool cache so total stays under SIM-114 2 GB envelope at all worker counts.</t>
  </si>
  <si>
    <t xml:space="preserve">1. Per-engine measured footprint table (Bytes-per-profile × cardinality).
2. Play-pool tile budget (Bytes-per-row × max active tiles).
3. Total budget summary against 2 GB cap with worker-count scaling.
4. Commit as docs/perf/2026-05-27-ram-budget.md.</t>
  </si>
  <si>
    <t xml:space="preserve">SIM-118 harness for measurement</t>
  </si>
  <si>
    <t xml:space="preserve">Required before SIM-301 cache sizing.</t>
  </si>
  <si>
    <t xml:space="preserve">ProcessPoolExecutor + shared-memory architecture decision</t>
  </si>
  <si>
    <t xml:space="preserve">Lock the Phase 4 parallelism model — workers, shared memory layout, FAISS index sharing strategy.</t>
  </si>
  <si>
    <t xml:space="preserve">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</si>
  <si>
    <t xml:space="preserve">SIM-280 budget</t>
  </si>
  <si>
    <t xml:space="preserve">Locks the Phase 4 parallelism model.</t>
  </si>
  <si>
    <t xml:space="preserve">Wire PlayPoolSampler into Phase 4 simulation-loop scaffold</t>
  </si>
  <si>
    <t xml:space="preserve">Wire the SIM-302 PlayPoolSampler into a minimal simulation-loop scaffold the Phase 4 loop will flesh out; completes Phase 3.</t>
  </si>
  <si>
    <t xml:space="preserve">simulation/sim_loop.py PlateAppearanceSimulator calls sample_pitch/sample_batted_ball; integration test on real tiles.</t>
  </si>
  <si>
    <t xml:space="preserve">Phase 3 completion. Sprint 2026-06-03.</t>
  </si>
  <si>
    <t xml:space="preserve">SIM-310</t>
  </si>
  <si>
    <t xml:space="preserve">Canonical Phase 4 simulation-loop spec (8 steps, fingerprints, terminal logic)</t>
  </si>
  <si>
    <t xml:space="preserve">Phase 4</t>
  </si>
  <si>
    <t xml:space="preserve">See docs/audit/2026-06-10-phase4-prioritized-tickets.md</t>
  </si>
  <si>
    <t xml:space="preserve">P0 gate; reconciles README vs SIM-119 step ordering.</t>
  </si>
  <si>
    <t xml:space="preserve">SIM-311</t>
  </si>
  <si>
    <t xml:space="preserve">GameState + PlayResult dataclass contract</t>
  </si>
  <si>
    <t xml:space="preserve">Mutable per-pitch state; gates all loop steps.</t>
  </si>
  <si>
    <t xml:space="preserve">SIM-312</t>
  </si>
  <si>
    <t xml:space="preserve">Fix RUN_VALUES&lt;-&gt;Statcast events vocabulary mismatch + run-resolution policy</t>
  </si>
  <si>
    <t xml:space="preserve">Baseball Analyst + Backend Developer</t>
  </si>
  <si>
    <t xml:space="preserve">BUG: get(event,0.0) silently 0.0 for common outs; use result_* deltas + RE24.</t>
  </si>
  <si>
    <t xml:space="preserve">SIM-313</t>
  </si>
  <si>
    <t xml:space="preserve">Wire recency_weight into PlayPoolSampler distance-weight</t>
  </si>
  <si>
    <t xml:space="preserve">BUG: sampler ignores recency_weight despite SIM-111 §8 contract.</t>
  </si>
  <si>
    <t xml:space="preserve">SIM-314</t>
  </si>
  <si>
    <t xml:space="preserve">Resolve SIM-200/201 ID collision (manager logic vs catcher framing/blocking)</t>
  </si>
  <si>
    <t xml:space="preserve">One ID maps to two tickets; corrupts dep graph.</t>
  </si>
  <si>
    <t xml:space="preserve">SIM-315</t>
  </si>
  <si>
    <t xml:space="preserve">Move repo off OneDrive / pre-commit file-integrity guard</t>
  </si>
  <si>
    <t xml:space="preserve">Infra</t>
  </si>
  <si>
    <t xml:space="preserve">Truncation corrupts the working tree (git unusable).</t>
  </si>
  <si>
    <t xml:space="preserve">SIM-316</t>
  </si>
  <si>
    <t xml:space="preserve">GameState manager + count/out/base/inning state machine + invalid-state guards</t>
  </si>
  <si>
    <t xml:space="preserve">Replaces throwaway PitchState.</t>
  </si>
  <si>
    <t xml:space="preserve">SIM-317</t>
  </si>
  <si>
    <t xml:space="preserve">Real query-fingerprint derivation via engines/registry (SIM-041/042)</t>
  </si>
  <si>
    <t xml:space="preserve">Replace stub-hash fingerprints.</t>
  </si>
  <si>
    <t xml:space="preserve">SIM-318</t>
  </si>
  <si>
    <t xml:space="preserve">Outcome determination + SIM-056 count-foul re-weight + two-strike-foul rule</t>
  </si>
  <si>
    <t xml:space="preserve">SIM-316, SIM-317</t>
  </si>
  <si>
    <t xml:space="preserve">Hosts the SIM-056 design.</t>
  </si>
  <si>
    <t xml:space="preserve">SIM-319</t>
  </si>
  <si>
    <t xml:space="preserve">Fielding + baserunning resolution + steal decision/outcome</t>
  </si>
  <si>
    <t xml:space="preserve">RBF engines + result_* deltas; stolen_base_pool.</t>
  </si>
  <si>
    <t xml:space="preserve">SIM-320</t>
  </si>
  <si>
    <t xml:space="preserve">Half-inning + game loop control + simulate_game() entry point</t>
  </si>
  <si>
    <t xml:space="preserve">SIM-318, SIM-319</t>
  </si>
  <si>
    <t xml:space="preserve">Unblocks SIM-120.</t>
  </si>
  <si>
    <t xml:space="preserve">SIM-321</t>
  </si>
  <si>
    <t xml:space="preserve">Cross-engine score-fusion spec + module</t>
  </si>
  <si>
    <t xml:space="preserve">Combine 11 engines into one per-pitch draw.</t>
  </si>
  <si>
    <t xml:space="preserve">SIM-322</t>
  </si>
  <si>
    <t xml:space="preserve">Fix GMM covariance double-standardization</t>
  </si>
  <si>
    <t xml:space="preserve">BUG: mean original-units vs covariance standardized twice.</t>
  </si>
  <si>
    <t xml:space="preserve">SIM-323</t>
  </si>
  <si>
    <t xml:space="preserve">Manager decision-logic spec + module (real SIM-201 manager scope)</t>
  </si>
  <si>
    <t xml:space="preserve">Pull/pinch-hit/bullpen-by-leverage/bunt from tendencies.</t>
  </si>
  <si>
    <t xml:space="preserve">Backtesting framework — walk-forward ECE/Brier/log-loss + ablation vs league-average</t>
  </si>
  <si>
    <t xml:space="preserve">ML Engineer + Betting Analyst</t>
  </si>
  <si>
    <t xml:space="preserve">Gold-standard validation; only recency harness exists today.</t>
  </si>
  <si>
    <t xml:space="preserve">SIM-324</t>
  </si>
  <si>
    <t xml:space="preserve">Phase 4 baseball sniff-test suite (run env, platoon, P/PA, RE24)</t>
  </si>
  <si>
    <t xml:space="preserve">Baseball Analyst + QA/DevOps</t>
  </si>
  <si>
    <t xml:space="preserve">Pre-backtest gates.</t>
  </si>
  <si>
    <t xml:space="preserve">SIM-325</t>
  </si>
  <si>
    <t xml:space="preserve">E2E integration test: replay games, chi-squared run distributions (p&gt;0.05)</t>
  </si>
  <si>
    <t xml:space="preserve">Test</t>
  </si>
  <si>
    <t xml:space="preserve">QA/DevOps + Baseball Analyst</t>
  </si>
  <si>
    <t xml:space="preserve">Statistical-validity gate.</t>
  </si>
  <si>
    <t xml:space="preserve">SIM-326</t>
  </si>
  <si>
    <t xml:space="preserve">Invalid-state detection harness (1,000 games)</t>
  </si>
  <si>
    <t xml:space="preserve">Zero negative scores / &gt;3 outs / impossible advances.</t>
  </si>
  <si>
    <t xml:space="preserve">SIM-327</t>
  </si>
  <si>
    <t xml:space="preserve">GameSimResult aggregation contract (win%, raw per-iter arrays, simulated_at, CIs)</t>
  </si>
  <si>
    <t xml:space="preserve">Backend Developer + UX Designer</t>
  </si>
  <si>
    <t xml:space="preserve">SIM-112 fields; single source for UI/betting.</t>
  </si>
  <si>
    <t xml:space="preserve">SIM-328</t>
  </si>
  <si>
    <t xml:space="preserve">Per-player sim-average accumulator (AB/H/HR/RBI; IP/K/BB/ER)</t>
  </si>
  <si>
    <t xml:space="preserve">Boxscore; build into PA loop.</t>
  </si>
  <si>
    <t xml:space="preserve">SIM-329</t>
  </si>
  <si>
    <t xml:space="preserve">Prop-distribution aggregator (full PMF per prop)</t>
  </si>
  <si>
    <t xml:space="preserve">Backend Developer + ML Engineer + Betting Analyst</t>
  </si>
  <si>
    <t xml:space="preserve">K/hits/HR/RBI/TB; not means.</t>
  </si>
  <si>
    <t xml:space="preserve">SIM-330</t>
  </si>
  <si>
    <t xml:space="preserve">Calibrated game win-probability output</t>
  </si>
  <si>
    <t xml:space="preserve">Moneyline/spread/total CLV needs it.</t>
  </si>
  <si>
    <t xml:space="preserve">SIM-331</t>
  </si>
  <si>
    <t xml:space="preserve">Field/baserunner + play-by-play snapshot contracts</t>
  </si>
  <si>
    <t xml:space="preserve">Field graphic, /plays, /state, override-delta.</t>
  </si>
  <si>
    <t xml:space="preserve">SIM-332</t>
  </si>
  <si>
    <t xml:space="preserve">ProcessPool 100-iteration runner + Redis TTL caching</t>
  </si>
  <si>
    <t xml:space="preserve">Backend Developer + Performance Engineer</t>
  </si>
  <si>
    <t xml:space="preserve">SIM-281 model; 60s/5-min TTLs.</t>
  </si>
  <si>
    <t xml:space="preserve">SIM-333</t>
  </si>
  <si>
    <t xml:space="preserve">Shared-memory/mmap zero-copy attach for tiles+KDTree+RBF</t>
  </si>
  <si>
    <t xml:space="preserve">Keeps &lt;=2GB at W workers.</t>
  </si>
  <si>
    <t xml:space="preserve">SIM-334</t>
  </si>
  <si>
    <t xml:space="preserve">Columnarize situation engine + read-only arsenal cache</t>
  </si>
  <si>
    <t xml:space="preserve">Reclaims ~100MB; shareable.</t>
  </si>
  <si>
    <t xml:space="preserve">SIM-335</t>
  </si>
  <si>
    <t xml:space="preserve">Fill perf Bench 4/5 + CI perf/RAM gate</t>
  </si>
  <si>
    <t xml:space="preserve">Enforce SIM-119 budget under PERF_STRICT.</t>
  </si>
  <si>
    <t xml:space="preserve">SIM-336</t>
  </si>
  <si>
    <t xml:space="preserve">Park-factor application + neutralization + fix factor_overall SQL bug + L/R splits</t>
  </si>
  <si>
    <t xml:space="preserve">Baseball Analyst + Data Engineer</t>
  </si>
  <si>
    <t xml:space="preserve">BUG: NULL L/R splits + factor_overall ref-before-UNPIVOT.</t>
  </si>
  <si>
    <t xml:space="preserve">SIM-337</t>
  </si>
  <si>
    <t xml:space="preserve">Reconcile SIM-115 indexes with query contract + add stand composites</t>
  </si>
  <si>
    <t xml:space="preserve">BUG: pruning contradicts SIM-111 §6.2.</t>
  </si>
  <si>
    <t xml:space="preserve">SIM-338</t>
  </si>
  <si>
    <t xml:space="preserve">Phase 4 lineup/substitution read path (DuckDB&lt;-&gt;Postgres)</t>
  </si>
  <si>
    <t xml:space="preserve">game_lineups/lineup_state are PG-only.</t>
  </si>
  <si>
    <t xml:space="preserve">SIM-339</t>
  </si>
  <si>
    <t xml:space="preserve">CLV engine (implied prob, de-vig, edge, EV, CLV)</t>
  </si>
  <si>
    <t xml:space="preserve">Betting Analyst + ML Engineer</t>
  </si>
  <si>
    <t xml:space="preserve">SIM-329, SIM-330</t>
  </si>
  <si>
    <t xml:space="preserve">Gold-standard metric; fully unbuilt.</t>
  </si>
  <si>
    <t xml:space="preserve">SIM-340</t>
  </si>
  <si>
    <t xml:space="preserve">Real odds provider + prop ingestion + opening-line capture</t>
  </si>
  <si>
    <t xml:space="preserve">Swap MockOddsAPI; wire _persist_prop_odds; SIM-138.</t>
  </si>
  <si>
    <t xml:space="preserve">SIM-341</t>
  </si>
  <si>
    <t xml:space="preserve">Reconcile README + PRODUCT_GUIDE to current state</t>
  </si>
  <si>
    <t xml:space="preserve">Engines built, registry shipped, simulator-&gt;simulation.</t>
  </si>
  <si>
    <t xml:space="preserve">SIM-342</t>
  </si>
  <si>
    <t xml:space="preserve">Re-categorize open Phase 3 Gate rows (SIM-107/120/127/128/129)</t>
  </si>
  <si>
    <t xml:space="preserve">Backlog hygiene.</t>
  </si>
  <si>
    <t xml:space="preserve">SIM-343</t>
  </si>
  <si>
    <t xml:space="preserve">Add simulation/ to coverage scope + unify CI Python to 3.11</t>
  </si>
  <si>
    <t xml:space="preserve">CI</t>
  </si>
  <si>
    <t xml:space="preserve">Loop module ships with no coverage gate today.</t>
  </si>
  <si>
    <t xml:space="preserve">SIM-344</t>
  </si>
  <si>
    <t xml:space="preserve">Remove stray files (.clean/.tmp/_output.txt) + extend .gitignore</t>
  </si>
  <si>
    <t xml:space="preserve">Chore</t>
  </si>
  <si>
    <t xml:space="preserve">Untracked scratch files in tree.</t>
  </si>
  <si>
    <t xml:space="preserve">SIM-345</t>
  </si>
  <si>
    <t xml:space="preserve">Data-layer fixes: watermark &gt;=, consistent recency_ref_season, NOT NULL parity, stand/bat_hand contract</t>
  </si>
  <si>
    <t xml:space="preserve">Incremental-rebuild + recency edge cases.</t>
  </si>
  <si>
    <t xml:space="preserve">SIM-346</t>
  </si>
  <si>
    <t xml:space="preserve">ML calibration fixes: pitcher no-arsenal no-op, arsenal_gamma vs scale, wire CalibrationReport + drift test</t>
  </si>
  <si>
    <t xml:space="preserve">Calibration computed but unused; ×1.0 no-op.</t>
  </si>
  <si>
    <t xml:space="preserve">SIM-347</t>
  </si>
  <si>
    <t xml:space="preserve">Stress test 100x30 concurrent games</t>
  </si>
  <si>
    <t xml:space="preserve">QA/DevOps + Performance Engineer</t>
  </si>
  <si>
    <t xml:space="preserve">No races/leaks.</t>
  </si>
  <si>
    <t xml:space="preserve">SIM-348</t>
  </si>
  <si>
    <t xml:space="preserve">SIM-107 live-pipeline tests + finish SIM-152 conftest</t>
  </si>
  <si>
    <t xml:space="preserve">1,828-LOC file at 0% coverage.</t>
  </si>
  <si>
    <t xml:space="preserve">SIM-349</t>
  </si>
  <si>
    <t xml:space="preserve">Situational-decision module (IBB/sac/hit-and-run/shift)</t>
  </si>
  <si>
    <t xml:space="preserve">Triggers for count/leverage-driven events.</t>
  </si>
</sst>
</file>

<file path=xl/styles.xml><?xml version="1.0" encoding="utf-8"?>
<styleSheet xmlns="http://schemas.openxmlformats.org/spreadsheetml/2006/main">
  <numFmts count="2">
    <numFmt numFmtId="164" formatCode="General"/>
    <numFmt numFmtId="165" formatCode="0.0%"/>
  </numFmts>
  <fonts count="26">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name val="Cambria"/>
      <family val="0"/>
      <charset val="1"/>
    </font>
    <font>
      <b val="true"/>
      <sz val="11"/>
      <color rgb="FFFFFFFF"/>
      <name val="Calibri"/>
      <family val="0"/>
      <charset val="1"/>
    </font>
    <font>
      <b val="true"/>
      <sz val="11"/>
      <name val="Calibri"/>
      <family val="0"/>
      <charset val="1"/>
    </font>
    <font>
      <sz val="11"/>
      <name val="Calibri"/>
      <family val="0"/>
      <charset val="1"/>
    </font>
    <font>
      <i val="true"/>
      <sz val="10"/>
      <name val="Cambria"/>
      <family val="0"/>
      <charset val="1"/>
    </font>
    <font>
      <b val="true"/>
      <sz val="18"/>
      <color rgb="FF305496"/>
      <name val="Arial"/>
      <family val="0"/>
      <charset val="1"/>
    </font>
    <font>
      <i val="true"/>
      <sz val="10"/>
      <color rgb="FF595959"/>
      <name val="Arial"/>
      <family val="0"/>
      <charset val="1"/>
    </font>
    <font>
      <b val="true"/>
      <sz val="12"/>
      <color rgb="FF305496"/>
      <name val="Arial"/>
      <family val="0"/>
      <charset val="1"/>
    </font>
    <font>
      <b val="true"/>
      <sz val="11"/>
      <color rgb="FFFFFFFF"/>
      <name val="Arial"/>
      <family val="0"/>
      <charset val="1"/>
    </font>
    <font>
      <b val="true"/>
      <sz val="10"/>
      <color rgb="FF006100"/>
      <name val="Arial"/>
      <family val="0"/>
      <charset val="1"/>
    </font>
    <font>
      <b val="true"/>
      <sz val="10"/>
      <name val="Arial"/>
      <family val="0"/>
      <charset val="1"/>
    </font>
    <font>
      <b val="true"/>
      <sz val="10"/>
      <color rgb="FFFFFFFF"/>
      <name val="Arial"/>
      <family val="0"/>
      <charset val="1"/>
    </font>
    <font>
      <sz val="10"/>
      <color rgb="FF9C5700"/>
      <name val="Arial"/>
      <family val="0"/>
      <charset val="1"/>
    </font>
    <font>
      <b val="true"/>
      <sz val="10"/>
      <color rgb="FF9C0006"/>
      <name val="Arial"/>
      <family val="0"/>
      <charset val="1"/>
    </font>
    <font>
      <sz val="10"/>
      <color rgb="FF7F6000"/>
      <name val="Arial"/>
      <family val="0"/>
      <charset val="1"/>
    </font>
    <font>
      <b val="true"/>
      <sz val="10"/>
      <color rgb="FF1F4E79"/>
      <name val="Arial"/>
      <family val="0"/>
      <charset val="1"/>
    </font>
    <font>
      <sz val="10"/>
      <name val="Arial"/>
      <family val="0"/>
      <charset val="1"/>
    </font>
    <font>
      <u val="single"/>
      <sz val="10"/>
      <color rgb="FF0563C1"/>
      <name val="Arial"/>
      <family val="0"/>
      <charset val="1"/>
    </font>
    <font>
      <b val="true"/>
      <sz val="12"/>
      <color rgb="FF006100"/>
      <name val="Cambria"/>
      <family val="0"/>
      <charset val="1"/>
    </font>
    <font>
      <b val="true"/>
      <sz val="11"/>
      <color rgb="FF006100"/>
      <name val="Cambria"/>
      <family val="0"/>
      <charset val="1"/>
    </font>
    <font>
      <b val="true"/>
      <sz val="14"/>
      <color rgb="FFFFFFFF"/>
      <name val="Calibri"/>
      <family val="0"/>
      <charset val="1"/>
    </font>
  </fonts>
  <fills count="13">
    <fill>
      <patternFill patternType="none"/>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6" borderId="0" xfId="0" applyFont="true" applyBorder="false" applyAlignment="true" applyProtection="false">
      <alignment horizontal="center" vertical="bottom" textRotation="0" wrapText="false" indent="0" shrinkToFit="false"/>
      <protection locked="true" hidden="false"/>
    </xf>
    <xf numFmtId="164" fontId="14" fillId="4"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16" fillId="7" borderId="0" xfId="0" applyFont="true" applyBorder="false" applyAlignment="tru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false" indent="0" shrinkToFit="false"/>
      <protection locked="true" hidden="false"/>
    </xf>
    <xf numFmtId="164" fontId="11" fillId="9" borderId="0" xfId="0" applyFont="true" applyBorder="false" applyAlignment="true" applyProtection="false">
      <alignment horizontal="general" vertical="bottom" textRotation="0" wrapText="false" indent="0" shrinkToFit="false"/>
      <protection locked="true" hidden="false"/>
    </xf>
    <xf numFmtId="164" fontId="19" fillId="10" borderId="0" xfId="0" applyFont="true" applyBorder="false" applyAlignment="true" applyProtection="false">
      <alignment horizontal="general" vertical="bottom" textRotation="0" wrapText="false" indent="0" shrinkToFit="false"/>
      <protection locked="true" hidden="false"/>
    </xf>
    <xf numFmtId="164" fontId="20" fillId="11"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center"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25" fillId="2" borderId="0"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8" fillId="12" borderId="1" xfId="0" applyFont="true" applyBorder="true" applyAlignment="true" applyProtection="false">
      <alignment horizontal="left"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4" fontId="24" fillId="4" borderId="1" xfId="0" applyFont="true" applyBorder="true" applyAlignment="true" applyProtection="false">
      <alignment horizontal="general" vertical="top" textRotation="0" wrapText="true" indent="0" shrinkToFit="false"/>
      <protection locked="true" hidden="false"/>
    </xf>
    <xf numFmtId="164" fontId="17" fillId="5" borderId="1" xfId="0" applyFont="true" applyBorder="true" applyAlignment="true" applyProtection="false">
      <alignment horizontal="general" vertical="top" textRotation="0" wrapText="true" indent="0" shrinkToFit="false"/>
      <protection locked="true" hidden="false"/>
    </xf>
    <xf numFmtId="164" fontId="19" fillId="1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backlog.xlsx" TargetMode="External"/><Relationship Id="rId2" Type="http://schemas.openxmlformats.org/officeDocument/2006/relationships/hyperlink" Target="backlog.xlsx" TargetMode="External"/><Relationship Id="rId3" Type="http://schemas.openxmlformats.org/officeDocument/2006/relationships/hyperlink" Target="backlog.xlsx" TargetMode="External"/><Relationship Id="rId4" Type="http://schemas.openxmlformats.org/officeDocument/2006/relationships/hyperlink" Target="backlog.xlsx" TargetMode="External"/><Relationship Id="rId5" Type="http://schemas.openxmlformats.org/officeDocument/2006/relationships/hyperlink" Target="backlog.xlsx" TargetMode="External"/><Relationship Id="rId6" Type="http://schemas.openxmlformats.org/officeDocument/2006/relationships/hyperlink" Target="backlog.xlsx" TargetMode="External"/><Relationship Id="rId7" Type="http://schemas.openxmlformats.org/officeDocument/2006/relationships/hyperlink" Target="backlog.xlsx" TargetMode="External"/><Relationship Id="rId8" Type="http://schemas.openxmlformats.org/officeDocument/2006/relationships/hyperlink" Target="backlog.xlsx" TargetMode="External"/><Relationship Id="rId9" Type="http://schemas.openxmlformats.org/officeDocument/2006/relationships/hyperlink" Target="backlog.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1" width="22"/>
    <col collapsed="false" customWidth="true" hidden="false" outlineLevel="0" max="3" min="3" style="1" width="8"/>
    <col collapsed="false" customWidth="true" hidden="false" outlineLevel="0" max="6" min="4" style="1" width="28"/>
  </cols>
  <sheetData>
    <row r="1" customFormat="false" ht="31.5" hidden="false" customHeight="true" outlineLevel="0" collapsed="false">
      <c r="A1" s="2" t="s">
        <v>0</v>
      </c>
      <c r="B1" s="2"/>
      <c r="C1" s="2"/>
      <c r="D1" s="2"/>
      <c r="E1" s="2"/>
      <c r="F1" s="2"/>
    </row>
    <row r="2" customFormat="false" ht="21.75" hidden="false" customHeight="true" outlineLevel="0" collapsed="false">
      <c r="A2" s="3" t="s">
        <v>1</v>
      </c>
      <c r="B2" s="3"/>
      <c r="C2" s="3"/>
      <c r="D2" s="3"/>
      <c r="E2" s="3"/>
      <c r="F2" s="3"/>
    </row>
    <row r="4" customFormat="false" ht="15" hidden="false" customHeight="true" outlineLevel="0" collapsed="false">
      <c r="A4" s="4" t="s">
        <v>2</v>
      </c>
      <c r="B4" s="4" t="s">
        <v>3</v>
      </c>
      <c r="C4" s="4"/>
      <c r="D4" s="4"/>
      <c r="E4" s="4"/>
      <c r="F4" s="4"/>
    </row>
    <row r="5" customFormat="false" ht="42" hidden="false" customHeight="true" outlineLevel="0" collapsed="false">
      <c r="A5" s="5" t="s">
        <v>4</v>
      </c>
      <c r="B5" s="6" t="s">
        <v>5</v>
      </c>
      <c r="C5" s="6"/>
      <c r="D5" s="6"/>
      <c r="E5" s="6"/>
      <c r="F5" s="6"/>
    </row>
    <row r="6" customFormat="false" ht="42" hidden="false" customHeight="true" outlineLevel="0" collapsed="false">
      <c r="A6" s="5" t="s">
        <v>6</v>
      </c>
      <c r="B6" s="6" t="s">
        <v>7</v>
      </c>
      <c r="C6" s="6"/>
      <c r="D6" s="6"/>
      <c r="E6" s="6"/>
      <c r="F6" s="6"/>
    </row>
    <row r="7" customFormat="false" ht="42" hidden="false" customHeight="true" outlineLevel="0" collapsed="false">
      <c r="A7" s="5" t="s">
        <v>8</v>
      </c>
      <c r="B7" s="6" t="s">
        <v>9</v>
      </c>
      <c r="C7" s="6"/>
      <c r="D7" s="6"/>
      <c r="E7" s="6"/>
      <c r="F7" s="6"/>
    </row>
    <row r="8" customFormat="false" ht="42" hidden="false" customHeight="true" outlineLevel="0" collapsed="false">
      <c r="A8" s="5" t="s">
        <v>10</v>
      </c>
      <c r="B8" s="6" t="s">
        <v>11</v>
      </c>
      <c r="C8" s="6"/>
      <c r="D8" s="6"/>
      <c r="E8" s="6"/>
      <c r="F8" s="6"/>
    </row>
    <row r="9" customFormat="false" ht="42" hidden="false" customHeight="true" outlineLevel="0" collapsed="false">
      <c r="A9" s="5" t="s">
        <v>12</v>
      </c>
      <c r="B9" s="6" t="s">
        <v>13</v>
      </c>
      <c r="C9" s="6"/>
      <c r="D9" s="6"/>
      <c r="E9" s="6"/>
      <c r="F9" s="6"/>
    </row>
    <row r="10" customFormat="false" ht="42" hidden="false" customHeight="true" outlineLevel="0" collapsed="false">
      <c r="A10" s="5" t="s">
        <v>14</v>
      </c>
      <c r="B10" s="6" t="s">
        <v>15</v>
      </c>
      <c r="C10" s="6"/>
      <c r="D10" s="6"/>
      <c r="E10" s="6"/>
      <c r="F10" s="6"/>
    </row>
    <row r="11" customFormat="false" ht="42" hidden="false" customHeight="true" outlineLevel="0" collapsed="false">
      <c r="A11" s="5" t="s">
        <v>16</v>
      </c>
      <c r="B11" s="6" t="s">
        <v>17</v>
      </c>
      <c r="C11" s="6"/>
      <c r="D11" s="6"/>
      <c r="E11" s="6"/>
      <c r="F11" s="6"/>
    </row>
    <row r="12" customFormat="false" ht="42" hidden="false" customHeight="true" outlineLevel="0" collapsed="false">
      <c r="A12" s="5" t="s">
        <v>18</v>
      </c>
      <c r="B12" s="6" t="s">
        <v>19</v>
      </c>
      <c r="C12" s="6"/>
      <c r="D12" s="6"/>
      <c r="E12" s="6"/>
      <c r="F12" s="6"/>
    </row>
    <row r="15" customFormat="false" ht="24" hidden="false" customHeight="true" outlineLevel="0" collapsed="false">
      <c r="A15" s="7" t="s">
        <v>20</v>
      </c>
      <c r="B15" s="7"/>
      <c r="C15" s="7"/>
      <c r="D15" s="7"/>
      <c r="E15" s="7"/>
      <c r="F15" s="7"/>
    </row>
    <row r="16" customFormat="false" ht="15" hidden="false" customHeight="true" outlineLevel="0" collapsed="false">
      <c r="A16" s="8" t="s">
        <v>21</v>
      </c>
      <c r="B16" s="8" t="s">
        <v>22</v>
      </c>
      <c r="C16" s="8" t="s">
        <v>23</v>
      </c>
      <c r="D16" s="8" t="s">
        <v>24</v>
      </c>
      <c r="E16" s="8" t="s">
        <v>25</v>
      </c>
      <c r="F16" s="8"/>
    </row>
    <row r="17" customFormat="false" ht="31.5" hidden="false" customHeight="true" outlineLevel="0" collapsed="false">
      <c r="A17" s="6" t="s">
        <v>26</v>
      </c>
      <c r="B17" s="6" t="s">
        <v>27</v>
      </c>
      <c r="C17" s="6" t="s">
        <v>28</v>
      </c>
      <c r="D17" s="9" t="s">
        <v>29</v>
      </c>
      <c r="E17" s="6" t="s">
        <v>30</v>
      </c>
      <c r="F17" s="6"/>
    </row>
    <row r="18" customFormat="false" ht="31.5" hidden="false" customHeight="true" outlineLevel="0" collapsed="false">
      <c r="A18" s="6" t="s">
        <v>31</v>
      </c>
      <c r="B18" s="6" t="s">
        <v>32</v>
      </c>
      <c r="C18" s="6" t="s">
        <v>33</v>
      </c>
      <c r="D18" s="9" t="s">
        <v>34</v>
      </c>
      <c r="E18" s="6" t="s">
        <v>35</v>
      </c>
      <c r="F18" s="6"/>
    </row>
    <row r="19" customFormat="false" ht="31.5" hidden="false" customHeight="true" outlineLevel="0" collapsed="false">
      <c r="A19" s="6" t="s">
        <v>36</v>
      </c>
      <c r="B19" s="6" t="s">
        <v>37</v>
      </c>
      <c r="C19" s="6" t="s">
        <v>38</v>
      </c>
      <c r="D19" s="9" t="s">
        <v>39</v>
      </c>
      <c r="E19" s="6" t="s">
        <v>40</v>
      </c>
      <c r="F19" s="6"/>
    </row>
    <row r="22" customFormat="false" ht="24" hidden="false" customHeight="true" outlineLevel="0" collapsed="false">
      <c r="A22" s="7" t="s">
        <v>41</v>
      </c>
      <c r="B22" s="7"/>
      <c r="C22" s="7"/>
      <c r="D22" s="7"/>
      <c r="E22" s="7"/>
      <c r="F22" s="7"/>
    </row>
    <row r="23" customFormat="false" ht="15" hidden="false" customHeight="true" outlineLevel="0" collapsed="false">
      <c r="A23" s="8" t="s">
        <v>42</v>
      </c>
      <c r="B23" s="8" t="s">
        <v>43</v>
      </c>
      <c r="C23" s="8" t="s">
        <v>44</v>
      </c>
      <c r="D23" s="8" t="s">
        <v>45</v>
      </c>
      <c r="E23" s="8"/>
      <c r="F23" s="8"/>
    </row>
    <row r="24" customFormat="false" ht="37.5" hidden="false" customHeight="true" outlineLevel="0" collapsed="false">
      <c r="A24" s="10" t="s">
        <v>46</v>
      </c>
      <c r="B24" s="6" t="s">
        <v>47</v>
      </c>
      <c r="C24" s="11" t="s">
        <v>48</v>
      </c>
      <c r="D24" s="6" t="s">
        <v>49</v>
      </c>
      <c r="E24" s="6"/>
      <c r="F24" s="6"/>
    </row>
    <row r="25" customFormat="false" ht="37.5" hidden="false" customHeight="true" outlineLevel="0" collapsed="false">
      <c r="A25" s="10" t="s">
        <v>50</v>
      </c>
      <c r="B25" s="6" t="s">
        <v>51</v>
      </c>
      <c r="C25" s="11" t="s">
        <v>48</v>
      </c>
      <c r="D25" s="6" t="s">
        <v>52</v>
      </c>
      <c r="E25" s="6"/>
      <c r="F25" s="6"/>
    </row>
    <row r="26" customFormat="false" ht="37.5" hidden="false" customHeight="true" outlineLevel="0" collapsed="false">
      <c r="A26" s="10" t="s">
        <v>53</v>
      </c>
      <c r="B26" s="6" t="s">
        <v>47</v>
      </c>
      <c r="C26" s="11" t="s">
        <v>48</v>
      </c>
      <c r="D26" s="6" t="s">
        <v>54</v>
      </c>
      <c r="E26" s="6"/>
      <c r="F26" s="6"/>
    </row>
    <row r="27" customFormat="false" ht="37.5" hidden="false" customHeight="true" outlineLevel="0" collapsed="false">
      <c r="A27" s="10" t="s">
        <v>55</v>
      </c>
      <c r="B27" s="6" t="s">
        <v>56</v>
      </c>
      <c r="C27" s="11" t="s">
        <v>57</v>
      </c>
      <c r="D27" s="6" t="s">
        <v>58</v>
      </c>
      <c r="E27" s="6"/>
      <c r="F27" s="6"/>
    </row>
    <row r="28" customFormat="false" ht="37.5" hidden="false" customHeight="true" outlineLevel="0" collapsed="false">
      <c r="A28" s="10" t="s">
        <v>59</v>
      </c>
      <c r="B28" s="6" t="s">
        <v>60</v>
      </c>
      <c r="C28" s="11" t="s">
        <v>57</v>
      </c>
      <c r="D28" s="6" t="s">
        <v>61</v>
      </c>
      <c r="E28" s="6"/>
      <c r="F28" s="6"/>
    </row>
    <row r="29" customFormat="false" ht="37.5" hidden="false" customHeight="true" outlineLevel="0" collapsed="false">
      <c r="A29" s="10" t="s">
        <v>62</v>
      </c>
      <c r="B29" s="6" t="s">
        <v>60</v>
      </c>
      <c r="C29" s="11" t="s">
        <v>63</v>
      </c>
      <c r="D29" s="6" t="s">
        <v>64</v>
      </c>
      <c r="E29" s="6"/>
      <c r="F29" s="6"/>
    </row>
    <row r="30" customFormat="false" ht="37.5" hidden="false" customHeight="true" outlineLevel="0" collapsed="false">
      <c r="A30" s="10" t="s">
        <v>65</v>
      </c>
      <c r="B30" s="6" t="s">
        <v>66</v>
      </c>
      <c r="C30" s="11" t="s">
        <v>48</v>
      </c>
      <c r="D30" s="6" t="s">
        <v>67</v>
      </c>
      <c r="E30" s="6"/>
      <c r="F30" s="6"/>
    </row>
    <row r="31" customFormat="false" ht="37.5" hidden="false" customHeight="true" outlineLevel="0" collapsed="false">
      <c r="A31" s="10" t="s">
        <v>68</v>
      </c>
      <c r="B31" s="6" t="s">
        <v>66</v>
      </c>
      <c r="C31" s="11" t="s">
        <v>63</v>
      </c>
      <c r="D31" s="6" t="s">
        <v>69</v>
      </c>
      <c r="E31" s="6"/>
      <c r="F31" s="6"/>
    </row>
    <row r="32" customFormat="false" ht="37.5" hidden="false" customHeight="true" outlineLevel="0" collapsed="false">
      <c r="A32" s="10" t="s">
        <v>70</v>
      </c>
      <c r="B32" s="6" t="s">
        <v>66</v>
      </c>
      <c r="C32" s="11" t="s">
        <v>63</v>
      </c>
      <c r="D32" s="6" t="s">
        <v>71</v>
      </c>
      <c r="E32" s="6"/>
      <c r="F32" s="6"/>
    </row>
    <row r="35" customFormat="false" ht="24" hidden="false" customHeight="true" outlineLevel="0" collapsed="false">
      <c r="A35" s="7" t="s">
        <v>72</v>
      </c>
      <c r="B35" s="7"/>
      <c r="C35" s="7"/>
      <c r="D35" s="7"/>
      <c r="E35" s="7"/>
      <c r="F35" s="7"/>
    </row>
    <row r="36" customFormat="false" ht="15" hidden="false" customHeight="true" outlineLevel="0" collapsed="false">
      <c r="A36" s="8" t="s">
        <v>42</v>
      </c>
      <c r="B36" s="8" t="s">
        <v>43</v>
      </c>
      <c r="C36" s="8" t="s">
        <v>44</v>
      </c>
      <c r="D36" s="8" t="s">
        <v>73</v>
      </c>
      <c r="E36" s="8"/>
      <c r="F36" s="8"/>
    </row>
    <row r="37" customFormat="false" ht="37.5" hidden="false" customHeight="true" outlineLevel="0" collapsed="false">
      <c r="A37" s="11" t="s">
        <v>74</v>
      </c>
      <c r="B37" s="6" t="s">
        <v>66</v>
      </c>
      <c r="C37" s="11" t="s">
        <v>63</v>
      </c>
      <c r="D37" s="6" t="s">
        <v>75</v>
      </c>
      <c r="E37" s="6"/>
      <c r="F37" s="6"/>
    </row>
    <row r="40" customFormat="false" ht="15" hidden="false" customHeight="true" outlineLevel="0" collapsed="false">
      <c r="A40" s="12" t="s">
        <v>76</v>
      </c>
      <c r="B40" s="12"/>
      <c r="C40" s="12"/>
      <c r="D40" s="12"/>
      <c r="E40" s="12"/>
      <c r="F40" s="12"/>
    </row>
  </sheetData>
  <mergeCells count="31">
    <mergeCell ref="A1:F1"/>
    <mergeCell ref="A2:F2"/>
    <mergeCell ref="B4:F4"/>
    <mergeCell ref="B5:F5"/>
    <mergeCell ref="B6:F6"/>
    <mergeCell ref="B7:F7"/>
    <mergeCell ref="B8:F8"/>
    <mergeCell ref="B9:F9"/>
    <mergeCell ref="B10:F10"/>
    <mergeCell ref="B11:F11"/>
    <mergeCell ref="B12:F12"/>
    <mergeCell ref="A15:F15"/>
    <mergeCell ref="E16:F16"/>
    <mergeCell ref="E17:F17"/>
    <mergeCell ref="E18:F18"/>
    <mergeCell ref="E19:F19"/>
    <mergeCell ref="A22:F22"/>
    <mergeCell ref="D23:F23"/>
    <mergeCell ref="D24:F24"/>
    <mergeCell ref="D25:F25"/>
    <mergeCell ref="D26:F26"/>
    <mergeCell ref="D27:F27"/>
    <mergeCell ref="D28:F28"/>
    <mergeCell ref="D29:F29"/>
    <mergeCell ref="D30:F30"/>
    <mergeCell ref="D31:F31"/>
    <mergeCell ref="D32:F32"/>
    <mergeCell ref="A35:F35"/>
    <mergeCell ref="D36:F36"/>
    <mergeCell ref="D37:F37"/>
    <mergeCell ref="A40:F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7"/>
  <sheetViews>
    <sheetView showFormulas="false" showGridLines="false" showRowColHeaders="true" showZeros="true" rightToLeft="false" tabSelected="false" showOutlineSymbols="true" defaultGridColor="true" view="normal" topLeftCell="A3" colorId="64" zoomScale="100" zoomScaleNormal="100" zoomScalePageLayoutView="100" workbookViewId="0">
      <selection pane="topLeft" activeCell="B28" activeCellId="0" sqref="B28"/>
    </sheetView>
  </sheetViews>
  <sheetFormatPr defaultColWidth="8.71484375" defaultRowHeight="15" customHeight="false"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12"/>
    <col collapsed="false" customWidth="true" hidden="false" outlineLevel="0" max="4" min="4" style="1" width="4"/>
    <col collapsed="false" customWidth="true" hidden="false" outlineLevel="0" max="5" min="5" style="1" width="28"/>
    <col collapsed="false" customWidth="true" hidden="false" outlineLevel="0" max="6" min="6" style="1" width="12"/>
    <col collapsed="false" customWidth="true" hidden="false" outlineLevel="0" max="7" min="7" style="1" width="24"/>
  </cols>
  <sheetData>
    <row r="2" customFormat="false" ht="25.5" hidden="false" customHeight="true" outlineLevel="0" collapsed="false">
      <c r="B2" s="13" t="s">
        <v>77</v>
      </c>
      <c r="C2" s="13"/>
      <c r="D2" s="13"/>
      <c r="E2" s="13"/>
      <c r="F2" s="13"/>
      <c r="G2" s="13"/>
    </row>
    <row r="3" customFormat="false" ht="15" hidden="false" customHeight="true" outlineLevel="0" collapsed="false">
      <c r="B3" s="14" t="s">
        <v>78</v>
      </c>
      <c r="C3" s="14"/>
      <c r="D3" s="14"/>
      <c r="E3" s="14"/>
      <c r="F3" s="14"/>
      <c r="G3" s="14"/>
    </row>
    <row r="5" customFormat="false" ht="15" hidden="false" customHeight="true" outlineLevel="0" collapsed="false">
      <c r="B5" s="15" t="s">
        <v>79</v>
      </c>
      <c r="E5" s="15" t="s">
        <v>80</v>
      </c>
    </row>
    <row r="6" customFormat="false" ht="15" hidden="false" customHeight="true" outlineLevel="0" collapsed="false">
      <c r="B6" s="16" t="s">
        <v>3</v>
      </c>
      <c r="C6" s="16" t="s">
        <v>81</v>
      </c>
      <c r="E6" s="16" t="s">
        <v>82</v>
      </c>
      <c r="F6" s="16" t="s">
        <v>81</v>
      </c>
    </row>
    <row r="7" customFormat="false" ht="15" hidden="false" customHeight="true" outlineLevel="0" collapsed="false">
      <c r="B7" s="17" t="s">
        <v>83</v>
      </c>
      <c r="C7" s="18" t="n">
        <f aca="false">COUNTIF('Full Backlog'!$H$2:$H$1000,"Closed")</f>
        <v>58</v>
      </c>
      <c r="E7" s="19" t="s">
        <v>84</v>
      </c>
      <c r="F7" s="18" t="n">
        <f aca="false">COUNTIFS('Full Backlog'!$E$2:$E$1000,"P0",'Full Backlog'!$H$2:$H$1000,"Open")+COUNTIFS('Full Backlog'!$E$2:$E$1000,"P0",'Full Backlog'!$H$2:$H$1000,"Held")</f>
        <v>6</v>
      </c>
    </row>
    <row r="8" customFormat="false" ht="15" hidden="false" customHeight="true" outlineLevel="0" collapsed="false">
      <c r="B8" s="20" t="s">
        <v>85</v>
      </c>
      <c r="C8" s="18" t="n">
        <f aca="false">COUNTIF('Full Backlog'!$H$2:$H$1000,"Open")</f>
        <v>81</v>
      </c>
      <c r="E8" s="21" t="s">
        <v>86</v>
      </c>
      <c r="F8" s="18" t="n">
        <f aca="false">COUNTIFS('Full Backlog'!$E$2:$E$1000,"P1",'Full Backlog'!$H$2:$H$1000,"Open")+COUNTIFS('Full Backlog'!$E$2:$E$1000,"P1",'Full Backlog'!$H$2:$H$1000,"Held")</f>
        <v>47</v>
      </c>
    </row>
    <row r="9" customFormat="false" ht="15" hidden="false" customHeight="true" outlineLevel="0" collapsed="false">
      <c r="B9" s="22" t="s">
        <v>87</v>
      </c>
      <c r="C9" s="18" t="n">
        <f aca="false">COUNTIF('Full Backlog'!$H$2:$H$1000,"Held")</f>
        <v>2</v>
      </c>
      <c r="E9" s="23" t="s">
        <v>88</v>
      </c>
      <c r="F9" s="18" t="n">
        <f aca="false">COUNTIFS('Full Backlog'!$E$2:$E$1000,"P2",'Full Backlog'!$H$2:$H$1000,"Open")+COUNTIFS('Full Backlog'!$E$2:$E$1000,"P2",'Full Backlog'!$H$2:$H$1000,"Held")</f>
        <v>21</v>
      </c>
    </row>
    <row r="10" customFormat="false" ht="15" hidden="false" customHeight="true" outlineLevel="0" collapsed="false">
      <c r="B10" s="24" t="s">
        <v>89</v>
      </c>
      <c r="C10" s="18" t="n">
        <f aca="false">COUNTIF('Full Backlog'!$H$2:$H$1000,"In Progress")</f>
        <v>0</v>
      </c>
      <c r="E10" s="1" t="s">
        <v>90</v>
      </c>
      <c r="F10" s="18" t="n">
        <f aca="false">COUNTIFS('Full Backlog'!$E$2:$E$1000,"P3",'Full Backlog'!$H$2:$H$1000,"Open")+COUNTIFS('Full Backlog'!$E$2:$E$1000,"P3",'Full Backlog'!$H$2:$H$1000,"Held")</f>
        <v>9</v>
      </c>
    </row>
    <row r="11" customFormat="false" ht="15" hidden="false" customHeight="true" outlineLevel="0" collapsed="false">
      <c r="B11" s="25" t="s">
        <v>91</v>
      </c>
      <c r="C11" s="18" t="n">
        <f aca="false">SUM(C7:C10)</f>
        <v>141</v>
      </c>
    </row>
    <row r="13" customFormat="false" ht="15" hidden="false" customHeight="true" outlineLevel="0" collapsed="false">
      <c r="B13" s="15" t="s">
        <v>92</v>
      </c>
      <c r="E13" s="15" t="s">
        <v>93</v>
      </c>
    </row>
    <row r="14" customFormat="false" ht="15" hidden="false" customHeight="true" outlineLevel="0" collapsed="false">
      <c r="B14" s="16" t="s">
        <v>94</v>
      </c>
      <c r="C14" s="16" t="s">
        <v>85</v>
      </c>
      <c r="E14" s="16" t="s">
        <v>95</v>
      </c>
      <c r="F14" s="16" t="s">
        <v>96</v>
      </c>
    </row>
    <row r="15" customFormat="false" ht="15" hidden="false" customHeight="true" outlineLevel="0" collapsed="false">
      <c r="B15" s="26" t="s">
        <v>97</v>
      </c>
      <c r="C15" s="18" t="n">
        <f aca="false">SUMPRODUCT((ISNUMBER(SEARCH("Data Engineer",'Full Backlog'!$G$2:$G$1000)))*('Full Backlog'!$H$2:$H$1000="Open"))</f>
        <v>26</v>
      </c>
      <c r="E15" s="26" t="s">
        <v>98</v>
      </c>
      <c r="F15" s="18" t="n">
        <f aca="false">COUNTIF('Current Sprint'!A5:A100,"SIM-*")</f>
        <v>6</v>
      </c>
    </row>
    <row r="16" customFormat="false" ht="15" hidden="false" customHeight="true" outlineLevel="0" collapsed="false">
      <c r="B16" s="26" t="s">
        <v>47</v>
      </c>
      <c r="C16" s="18" t="n">
        <f aca="false">SUMPRODUCT((ISNUMBER(SEARCH("Backend Developer",'Full Backlog'!$G$2:$G$1000)))*('Full Backlog'!$H$2:$H$1000="Open"))</f>
        <v>28</v>
      </c>
      <c r="E16" s="26" t="s">
        <v>85</v>
      </c>
      <c r="F16" s="18" t="n">
        <f aca="false">COUNTIF('Current Sprint'!$H$2:$H$100,"Open")</f>
        <v>0</v>
      </c>
    </row>
    <row r="17" customFormat="false" ht="15" hidden="false" customHeight="true" outlineLevel="0" collapsed="false">
      <c r="B17" s="26" t="s">
        <v>56</v>
      </c>
      <c r="C17" s="18" t="n">
        <f aca="false">SUMPRODUCT((ISNUMBER(SEARCH("ML Engineer",'Full Backlog'!$G$2:$G$1000)))*('Full Backlog'!$H$2:$H$1000="Open"))</f>
        <v>25</v>
      </c>
      <c r="E17" s="26" t="s">
        <v>83</v>
      </c>
      <c r="F17" s="18" t="n">
        <f aca="false">COUNTIF('Current Sprint'!$H$2:$H$100,"Closed")</f>
        <v>6</v>
      </c>
    </row>
    <row r="18" customFormat="false" ht="15" hidden="false" customHeight="true" outlineLevel="0" collapsed="false">
      <c r="B18" s="26" t="s">
        <v>60</v>
      </c>
      <c r="C18" s="18" t="n">
        <f aca="false">SUMPRODUCT((ISNUMBER(SEARCH("Baseball Analyst",'Full Backlog'!$G$2:$G$1000)))*('Full Backlog'!$H$2:$H$1000="Open"))</f>
        <v>15</v>
      </c>
      <c r="E18" s="26" t="s">
        <v>99</v>
      </c>
      <c r="F18" s="27" t="n">
        <f aca="false">IFERROR(F17/F15, 0)</f>
        <v>1</v>
      </c>
    </row>
    <row r="19" customFormat="false" ht="15" hidden="false" customHeight="true" outlineLevel="0" collapsed="false">
      <c r="B19" s="26" t="s">
        <v>66</v>
      </c>
      <c r="C19" s="18" t="n">
        <f aca="false">SUMPRODUCT((ISNUMBER(SEARCH("Performance Engineer",'Full Backlog'!$G$2:$G$1000)))*('Full Backlog'!$H$2:$H$1000="Open"))</f>
        <v>7</v>
      </c>
    </row>
    <row r="20" customFormat="false" ht="15" hidden="false" customHeight="true" outlineLevel="0" collapsed="false">
      <c r="B20" s="26" t="s">
        <v>100</v>
      </c>
      <c r="C20" s="18" t="n">
        <f aca="false">SUMPRODUCT((ISNUMBER(SEARCH("QA/DevOps",'Full Backlog'!$G$2:$G$1000)))*('Full Backlog'!$H$2:$H$1000="Open"))</f>
        <v>14</v>
      </c>
    </row>
    <row r="21" customFormat="false" ht="15" hidden="false" customHeight="true" outlineLevel="0" collapsed="false">
      <c r="B21" s="26" t="s">
        <v>101</v>
      </c>
      <c r="C21" s="18" t="n">
        <f aca="false">SUMPRODUCT((ISNUMBER(SEARCH("UX Designer",'Full Backlog'!$G$2:$G$1000)))*('Full Backlog'!$H$2:$H$1000="Open"))</f>
        <v>7</v>
      </c>
    </row>
    <row r="22" customFormat="false" ht="15" hidden="false" customHeight="true" outlineLevel="0" collapsed="false">
      <c r="B22" s="26" t="s">
        <v>102</v>
      </c>
      <c r="C22" s="18" t="n">
        <f aca="false">SUMPRODUCT((ISNUMBER(SEARCH("Betting Analyst",'Full Backlog'!$G$2:$G$1000)))*('Full Backlog'!$H$2:$H$1000="Open"))</f>
        <v>9</v>
      </c>
    </row>
    <row r="23" customFormat="false" ht="15" hidden="false" customHeight="true" outlineLevel="0" collapsed="false">
      <c r="B23" s="26" t="s">
        <v>103</v>
      </c>
      <c r="C23" s="18" t="n">
        <f aca="false">SUMPRODUCT((ISNUMBER(SEARCH("Product Manager",'Full Backlog'!$G$2:$G$1000)))*('Full Backlog'!$H$2:$H$1000="Open"))</f>
        <v>3</v>
      </c>
    </row>
    <row r="25" customFormat="false" ht="15" hidden="false" customHeight="true" outlineLevel="0" collapsed="false">
      <c r="B25" s="15" t="s">
        <v>104</v>
      </c>
    </row>
    <row r="26" customFormat="false" ht="15" hidden="false" customHeight="true" outlineLevel="0" collapsed="false">
      <c r="B26" s="28" t="s">
        <v>105</v>
      </c>
      <c r="C26" s="29" t="s">
        <v>106</v>
      </c>
    </row>
    <row r="27" customFormat="false" ht="15" hidden="false" customHeight="true" outlineLevel="0" collapsed="false">
      <c r="B27" s="28" t="s">
        <v>107</v>
      </c>
      <c r="C27" s="29" t="s">
        <v>108</v>
      </c>
    </row>
    <row r="28" customFormat="false" ht="15" hidden="false" customHeight="true" outlineLevel="0" collapsed="false">
      <c r="B28" s="28" t="s">
        <v>109</v>
      </c>
      <c r="C28" s="29" t="s">
        <v>110</v>
      </c>
    </row>
    <row r="29" customFormat="false" ht="15" hidden="false" customHeight="true" outlineLevel="0" collapsed="false">
      <c r="B29" s="28" t="s">
        <v>111</v>
      </c>
      <c r="C29" s="29" t="s">
        <v>112</v>
      </c>
    </row>
    <row r="30" customFormat="false" ht="15" hidden="false" customHeight="true" outlineLevel="0" collapsed="false">
      <c r="B30" s="28" t="s">
        <v>113</v>
      </c>
      <c r="C30" s="29" t="s">
        <v>114</v>
      </c>
    </row>
    <row r="31" customFormat="false" ht="15" hidden="false" customHeight="true" outlineLevel="0" collapsed="false">
      <c r="B31" s="28" t="s">
        <v>115</v>
      </c>
      <c r="C31" s="29" t="s">
        <v>116</v>
      </c>
    </row>
    <row r="32" customFormat="false" ht="15" hidden="false" customHeight="true" outlineLevel="0" collapsed="false">
      <c r="B32" s="28" t="s">
        <v>117</v>
      </c>
      <c r="C32" s="29" t="s">
        <v>118</v>
      </c>
    </row>
    <row r="33" customFormat="false" ht="15" hidden="false" customHeight="true" outlineLevel="0" collapsed="false">
      <c r="B33" s="28" t="s">
        <v>119</v>
      </c>
      <c r="C33" s="29" t="s">
        <v>120</v>
      </c>
    </row>
    <row r="34" customFormat="false" ht="15" hidden="false" customHeight="true" outlineLevel="0" collapsed="false">
      <c r="B34" s="28" t="s">
        <v>121</v>
      </c>
      <c r="C34" s="29" t="s">
        <v>122</v>
      </c>
    </row>
    <row r="36" customFormat="false" ht="15" hidden="false" customHeight="true" outlineLevel="0" collapsed="false">
      <c r="B36" s="30" t="s">
        <v>123</v>
      </c>
    </row>
    <row r="37" customFormat="false" ht="15" hidden="false" customHeight="true" outlineLevel="0" collapsed="false">
      <c r="B37" s="1" t="s">
        <v>124</v>
      </c>
    </row>
    <row r="38" customFormat="false" ht="15" hidden="false" customHeight="true" outlineLevel="0" collapsed="false">
      <c r="B38" s="1" t="s">
        <v>125</v>
      </c>
    </row>
    <row r="39" customFormat="false" ht="15" hidden="false" customHeight="true" outlineLevel="0" collapsed="false">
      <c r="B39" s="1" t="s">
        <v>126</v>
      </c>
    </row>
    <row r="40" customFormat="false" ht="15" hidden="false" customHeight="true" outlineLevel="0" collapsed="false">
      <c r="B40" s="1" t="s">
        <v>127</v>
      </c>
    </row>
    <row r="41" customFormat="false" ht="15" hidden="false" customHeight="true" outlineLevel="0" collapsed="false">
      <c r="B41" s="1" t="s">
        <v>128</v>
      </c>
    </row>
    <row r="42" customFormat="false" ht="15" hidden="false" customHeight="true" outlineLevel="0" collapsed="false">
      <c r="B42" s="1" t="s">
        <v>129</v>
      </c>
    </row>
    <row r="43" customFormat="false" ht="15" hidden="false" customHeight="true" outlineLevel="0" collapsed="false">
      <c r="B43" s="1" t="s">
        <v>130</v>
      </c>
    </row>
    <row r="44" customFormat="false" ht="15" hidden="false" customHeight="true" outlineLevel="0" collapsed="false">
      <c r="B44" s="1" t="s">
        <v>131</v>
      </c>
    </row>
    <row r="45" customFormat="false" ht="15" hidden="false" customHeight="true" outlineLevel="0" collapsed="false">
      <c r="B45" s="31" t="s">
        <v>132</v>
      </c>
    </row>
    <row r="47" customFormat="false" ht="15" hidden="false" customHeight="true" outlineLevel="0" collapsed="false">
      <c r="B47" s="32" t="s">
        <v>133</v>
      </c>
    </row>
  </sheetData>
  <mergeCells count="2">
    <mergeCell ref="B2:G2"/>
    <mergeCell ref="B3:G3"/>
  </mergeCells>
  <hyperlinks>
    <hyperlink ref="B26" r:id="rId1" location="'Full%20Backlog'!A1" display="Full Backlog"/>
    <hyperlink ref="B27" r:id="rId2" location="'Current%20Sprint'!A1" display="Current Sprint"/>
    <hyperlink ref="B28" r:id="rId3" location="'Phase%202%20Completion'!A1" display="Phase 2 Completion"/>
    <hyperlink ref="B29" r:id="rId4" location="'Phase%203%20Gate'!A1" display="Phase 3 Gate"/>
    <hyperlink ref="B30" r:id="rId5" location="'Phase%204%20Gate'!A1" display="Phase 4 Gate"/>
    <hyperlink ref="B31" r:id="rId6" location="'Phase%205%20Gate'!A1" display="Phase 5 Gate"/>
    <hyperlink ref="B32" r:id="rId7" location="'Phase%206%20Gate'!A1" display="Phase 6 Gate"/>
    <hyperlink ref="B33" r:id="rId8" location="'Phase%206%20Build'!A1" display="Phase 6 Build"/>
    <hyperlink ref="B34" r:id="rId9" location="'Phase%207%20Gate'!A1" display="Phase 7 Gat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9"/>
    <col collapsed="false" customWidth="true" hidden="false" outlineLevel="0" max="6" min="6" style="1" width="7"/>
    <col collapsed="false" customWidth="true" hidden="false" outlineLevel="0" max="7" min="7" style="1" width="22"/>
    <col collapsed="false" customWidth="true" hidden="false" outlineLevel="0" max="8" min="8" style="1" width="13"/>
    <col collapsed="false" customWidth="true" hidden="false" outlineLevel="0" max="9" min="9" style="1" width="9"/>
    <col collapsed="false" customWidth="true" hidden="false" outlineLevel="0" max="10" min="10" style="1" width="36"/>
    <col collapsed="false" customWidth="true" hidden="false" outlineLevel="0" max="11" min="11" style="1" width="42"/>
    <col collapsed="false" customWidth="true" hidden="false" outlineLevel="0" max="12" min="12" style="1" width="18"/>
    <col collapsed="false" customWidth="true" hidden="false" outlineLevel="0" max="13" min="13" style="1" width="22"/>
  </cols>
  <sheetData>
    <row r="1" customFormat="false" ht="27.75" hidden="false" customHeight="true" outlineLevel="0" collapsed="false">
      <c r="A1" s="33" t="s">
        <v>134</v>
      </c>
      <c r="B1" s="33"/>
      <c r="C1" s="33"/>
      <c r="D1" s="33"/>
      <c r="E1" s="33"/>
      <c r="F1" s="33"/>
      <c r="G1" s="33"/>
      <c r="H1" s="33"/>
      <c r="I1" s="33"/>
      <c r="J1" s="33"/>
      <c r="K1" s="33"/>
      <c r="L1" s="33"/>
      <c r="M1" s="33"/>
    </row>
    <row r="2" customFormat="false" ht="36" hidden="false" customHeight="true" outlineLevel="0" collapsed="false">
      <c r="A2" s="34" t="s">
        <v>135</v>
      </c>
      <c r="B2" s="34"/>
      <c r="C2" s="34"/>
      <c r="D2" s="34"/>
      <c r="E2" s="34"/>
      <c r="F2" s="34"/>
      <c r="G2" s="34"/>
      <c r="H2" s="34"/>
      <c r="I2" s="34"/>
      <c r="J2" s="34"/>
      <c r="K2" s="34"/>
      <c r="L2" s="34"/>
      <c r="M2" s="34"/>
    </row>
    <row r="4" customFormat="false" ht="15" hidden="false" customHeight="true" outlineLevel="0" collapsed="false">
      <c r="A4" s="8" t="s">
        <v>136</v>
      </c>
      <c r="B4" s="8" t="s">
        <v>137</v>
      </c>
      <c r="C4" s="8" t="s">
        <v>138</v>
      </c>
      <c r="D4" s="8" t="s">
        <v>139</v>
      </c>
      <c r="E4" s="8" t="s">
        <v>82</v>
      </c>
      <c r="F4" s="8" t="s">
        <v>44</v>
      </c>
      <c r="G4" s="8" t="s">
        <v>140</v>
      </c>
      <c r="H4" s="8" t="s">
        <v>3</v>
      </c>
      <c r="I4" s="8" t="s">
        <v>141</v>
      </c>
      <c r="J4" s="8" t="s">
        <v>73</v>
      </c>
      <c r="K4" s="8" t="s">
        <v>142</v>
      </c>
      <c r="L4" s="8" t="s">
        <v>143</v>
      </c>
      <c r="M4" s="8" t="s">
        <v>144</v>
      </c>
    </row>
    <row r="5" customFormat="false" ht="90" hidden="false" customHeight="true" outlineLevel="0" collapsed="false">
      <c r="A5" s="10" t="s">
        <v>145</v>
      </c>
      <c r="B5" s="6" t="s">
        <v>146</v>
      </c>
      <c r="C5" s="6" t="s">
        <v>147</v>
      </c>
      <c r="D5" s="6" t="s">
        <v>148</v>
      </c>
      <c r="E5" s="11" t="s">
        <v>86</v>
      </c>
      <c r="F5" s="11" t="s">
        <v>48</v>
      </c>
      <c r="G5" s="6" t="s">
        <v>56</v>
      </c>
      <c r="H5" s="35" t="s">
        <v>83</v>
      </c>
      <c r="I5" s="6" t="s">
        <v>149</v>
      </c>
      <c r="J5" s="6" t="s">
        <v>150</v>
      </c>
      <c r="K5" s="6" t="s">
        <v>151</v>
      </c>
      <c r="L5" s="6" t="s">
        <v>152</v>
      </c>
      <c r="M5" s="6" t="s">
        <v>153</v>
      </c>
    </row>
    <row r="6" customFormat="false" ht="90" hidden="false" customHeight="true" outlineLevel="0" collapsed="false">
      <c r="A6" s="10" t="s">
        <v>154</v>
      </c>
      <c r="B6" s="6" t="s">
        <v>155</v>
      </c>
      <c r="C6" s="6" t="s">
        <v>147</v>
      </c>
      <c r="D6" s="6" t="s">
        <v>156</v>
      </c>
      <c r="E6" s="11" t="s">
        <v>86</v>
      </c>
      <c r="F6" s="11" t="s">
        <v>57</v>
      </c>
      <c r="G6" s="6" t="s">
        <v>157</v>
      </c>
      <c r="H6" s="35" t="s">
        <v>83</v>
      </c>
      <c r="I6" s="6" t="s">
        <v>149</v>
      </c>
      <c r="J6" s="6" t="s">
        <v>158</v>
      </c>
      <c r="K6" s="6" t="s">
        <v>159</v>
      </c>
      <c r="L6" s="6" t="s">
        <v>145</v>
      </c>
      <c r="M6" s="6" t="s">
        <v>160</v>
      </c>
    </row>
    <row r="7" customFormat="false" ht="90" hidden="false" customHeight="true" outlineLevel="0" collapsed="false">
      <c r="A7" s="10" t="s">
        <v>161</v>
      </c>
      <c r="B7" s="6" t="s">
        <v>162</v>
      </c>
      <c r="C7" s="6" t="s">
        <v>147</v>
      </c>
      <c r="D7" s="6" t="s">
        <v>156</v>
      </c>
      <c r="E7" s="11" t="s">
        <v>88</v>
      </c>
      <c r="F7" s="11" t="s">
        <v>48</v>
      </c>
      <c r="G7" s="6" t="s">
        <v>97</v>
      </c>
      <c r="H7" s="35" t="s">
        <v>83</v>
      </c>
      <c r="I7" s="6" t="s">
        <v>149</v>
      </c>
      <c r="J7" s="6" t="s">
        <v>163</v>
      </c>
      <c r="K7" s="6" t="s">
        <v>164</v>
      </c>
      <c r="L7" s="6" t="s">
        <v>154</v>
      </c>
      <c r="M7" s="6" t="s">
        <v>165</v>
      </c>
    </row>
    <row r="8" customFormat="false" ht="90" hidden="false" customHeight="true" outlineLevel="0" collapsed="false">
      <c r="A8" s="10" t="s">
        <v>166</v>
      </c>
      <c r="B8" s="6" t="s">
        <v>167</v>
      </c>
      <c r="C8" s="6" t="s">
        <v>147</v>
      </c>
      <c r="D8" s="6" t="s">
        <v>168</v>
      </c>
      <c r="E8" s="11" t="s">
        <v>86</v>
      </c>
      <c r="F8" s="11" t="s">
        <v>63</v>
      </c>
      <c r="G8" s="6" t="s">
        <v>169</v>
      </c>
      <c r="H8" s="35" t="s">
        <v>83</v>
      </c>
      <c r="I8" s="6" t="s">
        <v>149</v>
      </c>
      <c r="J8" s="6" t="s">
        <v>170</v>
      </c>
      <c r="K8" s="6" t="s">
        <v>171</v>
      </c>
      <c r="L8" s="6" t="s">
        <v>154</v>
      </c>
      <c r="M8" s="6" t="s">
        <v>172</v>
      </c>
    </row>
    <row r="9" customFormat="false" ht="90" hidden="false" customHeight="true" outlineLevel="0" collapsed="false">
      <c r="A9" s="10" t="s">
        <v>173</v>
      </c>
      <c r="B9" s="6" t="s">
        <v>174</v>
      </c>
      <c r="C9" s="6" t="s">
        <v>147</v>
      </c>
      <c r="D9" s="6" t="s">
        <v>156</v>
      </c>
      <c r="E9" s="11" t="s">
        <v>86</v>
      </c>
      <c r="F9" s="11" t="s">
        <v>63</v>
      </c>
      <c r="G9" s="6" t="s">
        <v>175</v>
      </c>
      <c r="H9" s="35" t="s">
        <v>83</v>
      </c>
      <c r="I9" s="6" t="s">
        <v>149</v>
      </c>
      <c r="J9" s="6" t="s">
        <v>176</v>
      </c>
      <c r="K9" s="6" t="s">
        <v>177</v>
      </c>
      <c r="L9" s="6" t="s">
        <v>166</v>
      </c>
      <c r="M9" s="6" t="s">
        <v>178</v>
      </c>
    </row>
    <row r="10" customFormat="false" ht="90" hidden="false" customHeight="true" outlineLevel="0" collapsed="false">
      <c r="A10" s="10" t="s">
        <v>179</v>
      </c>
      <c r="B10" s="6" t="s">
        <v>180</v>
      </c>
      <c r="C10" s="6" t="s">
        <v>147</v>
      </c>
      <c r="D10" s="6" t="s">
        <v>181</v>
      </c>
      <c r="E10" s="11" t="s">
        <v>88</v>
      </c>
      <c r="F10" s="11" t="s">
        <v>63</v>
      </c>
      <c r="G10" s="6" t="s">
        <v>60</v>
      </c>
      <c r="H10" s="35" t="s">
        <v>83</v>
      </c>
      <c r="I10" s="6" t="s">
        <v>149</v>
      </c>
      <c r="J10" s="6" t="s">
        <v>182</v>
      </c>
      <c r="K10" s="6" t="s">
        <v>183</v>
      </c>
      <c r="L10" s="6" t="s">
        <v>166</v>
      </c>
      <c r="M10" s="6" t="s">
        <v>184</v>
      </c>
    </row>
    <row r="11" customFormat="false" ht="15" hidden="false" customHeight="true" outlineLevel="0" collapsed="false"/>
  </sheetData>
  <mergeCells count="2">
    <mergeCell ref="A1:M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14843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36" t="s">
        <v>136</v>
      </c>
      <c r="B1" s="36" t="s">
        <v>137</v>
      </c>
      <c r="C1" s="36" t="s">
        <v>138</v>
      </c>
      <c r="D1" s="36" t="s">
        <v>139</v>
      </c>
      <c r="E1" s="36" t="s">
        <v>82</v>
      </c>
      <c r="F1" s="36" t="s">
        <v>44</v>
      </c>
      <c r="G1" s="36" t="s">
        <v>140</v>
      </c>
      <c r="H1" s="36" t="s">
        <v>3</v>
      </c>
      <c r="I1" s="36" t="s">
        <v>141</v>
      </c>
      <c r="J1" s="36" t="s">
        <v>185</v>
      </c>
      <c r="K1" s="36" t="s">
        <v>142</v>
      </c>
      <c r="L1" s="36" t="s">
        <v>143</v>
      </c>
      <c r="M1" s="36" t="s">
        <v>186</v>
      </c>
    </row>
    <row r="2" customFormat="false" ht="147" hidden="false" customHeight="true" outlineLevel="0" collapsed="false">
      <c r="A2" s="37" t="s">
        <v>187</v>
      </c>
      <c r="B2" s="37" t="s">
        <v>188</v>
      </c>
      <c r="C2" s="37" t="s">
        <v>189</v>
      </c>
      <c r="D2" s="37" t="s">
        <v>148</v>
      </c>
      <c r="E2" s="38" t="s">
        <v>86</v>
      </c>
      <c r="F2" s="37" t="s">
        <v>190</v>
      </c>
      <c r="G2" s="37" t="s">
        <v>56</v>
      </c>
      <c r="H2" s="39" t="s">
        <v>191</v>
      </c>
      <c r="I2" s="37" t="s">
        <v>149</v>
      </c>
      <c r="J2" s="37" t="s">
        <v>192</v>
      </c>
      <c r="K2" s="37" t="s">
        <v>193</v>
      </c>
      <c r="L2" s="37" t="s">
        <v>194</v>
      </c>
      <c r="M2" s="37" t="s">
        <v>195</v>
      </c>
    </row>
    <row r="3" customFormat="false" ht="113.25" hidden="false" customHeight="true" outlineLevel="0" collapsed="false">
      <c r="A3" s="37" t="s">
        <v>196</v>
      </c>
      <c r="B3" s="37" t="s">
        <v>197</v>
      </c>
      <c r="C3" s="37" t="s">
        <v>189</v>
      </c>
      <c r="D3" s="37" t="s">
        <v>148</v>
      </c>
      <c r="E3" s="38" t="s">
        <v>86</v>
      </c>
      <c r="F3" s="37" t="s">
        <v>190</v>
      </c>
      <c r="G3" s="37" t="s">
        <v>56</v>
      </c>
      <c r="H3" s="39" t="s">
        <v>191</v>
      </c>
      <c r="I3" s="37" t="s">
        <v>149</v>
      </c>
      <c r="J3" s="37" t="s">
        <v>198</v>
      </c>
      <c r="K3" s="37" t="s">
        <v>199</v>
      </c>
      <c r="L3" s="37" t="s">
        <v>200</v>
      </c>
      <c r="M3" s="37" t="s">
        <v>201</v>
      </c>
    </row>
    <row r="4" customFormat="false" ht="191.25" hidden="false" customHeight="true" outlineLevel="0" collapsed="false">
      <c r="A4" s="37" t="s">
        <v>202</v>
      </c>
      <c r="B4" s="37" t="s">
        <v>203</v>
      </c>
      <c r="C4" s="37" t="s">
        <v>189</v>
      </c>
      <c r="D4" s="37" t="s">
        <v>148</v>
      </c>
      <c r="E4" s="38" t="s">
        <v>86</v>
      </c>
      <c r="F4" s="37" t="s">
        <v>190</v>
      </c>
      <c r="G4" s="37" t="s">
        <v>157</v>
      </c>
      <c r="H4" s="40" t="s">
        <v>85</v>
      </c>
      <c r="I4" s="37" t="s">
        <v>149</v>
      </c>
      <c r="J4" s="37" t="s">
        <v>204</v>
      </c>
      <c r="K4" s="37" t="s">
        <v>205</v>
      </c>
      <c r="L4" s="37" t="s">
        <v>206</v>
      </c>
      <c r="M4" s="37" t="s">
        <v>207</v>
      </c>
    </row>
    <row r="5" customFormat="false" ht="147" hidden="false" customHeight="true" outlineLevel="0" collapsed="false">
      <c r="A5" s="37" t="s">
        <v>208</v>
      </c>
      <c r="B5" s="37" t="s">
        <v>209</v>
      </c>
      <c r="C5" s="37" t="s">
        <v>189</v>
      </c>
      <c r="D5" s="37" t="s">
        <v>148</v>
      </c>
      <c r="E5" s="38" t="s">
        <v>86</v>
      </c>
      <c r="F5" s="37" t="s">
        <v>210</v>
      </c>
      <c r="G5" s="37" t="s">
        <v>56</v>
      </c>
      <c r="H5" s="40" t="s">
        <v>85</v>
      </c>
      <c r="I5" s="37" t="s">
        <v>149</v>
      </c>
      <c r="J5" s="37" t="s">
        <v>211</v>
      </c>
      <c r="K5" s="37" t="s">
        <v>212</v>
      </c>
      <c r="L5" s="37" t="s">
        <v>213</v>
      </c>
      <c r="M5" s="37" t="s">
        <v>214</v>
      </c>
    </row>
    <row r="6" customFormat="false" ht="102" hidden="false" customHeight="true" outlineLevel="0" collapsed="false">
      <c r="A6" s="37" t="s">
        <v>215</v>
      </c>
      <c r="B6" s="37" t="s">
        <v>216</v>
      </c>
      <c r="C6" s="37" t="s">
        <v>189</v>
      </c>
      <c r="D6" s="37" t="s">
        <v>148</v>
      </c>
      <c r="E6" s="38" t="s">
        <v>86</v>
      </c>
      <c r="F6" s="37" t="s">
        <v>210</v>
      </c>
      <c r="G6" s="37" t="s">
        <v>56</v>
      </c>
      <c r="H6" s="40" t="s">
        <v>85</v>
      </c>
      <c r="I6" s="37" t="s">
        <v>149</v>
      </c>
      <c r="J6" s="37" t="s">
        <v>217</v>
      </c>
      <c r="K6" s="37" t="s">
        <v>218</v>
      </c>
      <c r="L6" s="37" t="s">
        <v>219</v>
      </c>
      <c r="M6" s="37" t="s">
        <v>220</v>
      </c>
    </row>
    <row r="7" customFormat="false" ht="124.5" hidden="false" customHeight="true" outlineLevel="0" collapsed="false">
      <c r="A7" s="37" t="s">
        <v>221</v>
      </c>
      <c r="B7" s="37" t="s">
        <v>222</v>
      </c>
      <c r="C7" s="37" t="s">
        <v>189</v>
      </c>
      <c r="D7" s="37" t="s">
        <v>148</v>
      </c>
      <c r="E7" s="38" t="s">
        <v>86</v>
      </c>
      <c r="F7" s="37" t="s">
        <v>210</v>
      </c>
      <c r="G7" s="37" t="s">
        <v>223</v>
      </c>
      <c r="H7" s="40" t="s">
        <v>85</v>
      </c>
      <c r="I7" s="37" t="s">
        <v>149</v>
      </c>
      <c r="J7" s="37" t="s">
        <v>224</v>
      </c>
      <c r="K7" s="37" t="s">
        <v>225</v>
      </c>
      <c r="L7" s="37" t="s">
        <v>226</v>
      </c>
      <c r="M7" s="37" t="s">
        <v>227</v>
      </c>
    </row>
    <row r="8" customFormat="false" ht="135.75" hidden="false" customHeight="true" outlineLevel="0" collapsed="false">
      <c r="A8" s="37" t="s">
        <v>228</v>
      </c>
      <c r="B8" s="37" t="s">
        <v>229</v>
      </c>
      <c r="C8" s="37" t="s">
        <v>189</v>
      </c>
      <c r="D8" s="37" t="s">
        <v>148</v>
      </c>
      <c r="E8" s="38" t="s">
        <v>86</v>
      </c>
      <c r="F8" s="37" t="s">
        <v>210</v>
      </c>
      <c r="G8" s="37" t="s">
        <v>56</v>
      </c>
      <c r="H8" s="40" t="s">
        <v>85</v>
      </c>
      <c r="I8" s="37" t="s">
        <v>149</v>
      </c>
      <c r="J8" s="37" t="s">
        <v>230</v>
      </c>
      <c r="K8" s="37" t="s">
        <v>231</v>
      </c>
      <c r="L8" s="37" t="s">
        <v>232</v>
      </c>
      <c r="M8" s="37" t="s">
        <v>233</v>
      </c>
    </row>
    <row r="9" customFormat="false" ht="147" hidden="false" customHeight="true" outlineLevel="0" collapsed="false">
      <c r="A9" s="37" t="s">
        <v>145</v>
      </c>
      <c r="B9" s="37" t="s">
        <v>234</v>
      </c>
      <c r="C9" s="37" t="s">
        <v>189</v>
      </c>
      <c r="D9" s="37" t="s">
        <v>148</v>
      </c>
      <c r="E9" s="38" t="s">
        <v>86</v>
      </c>
      <c r="F9" s="37" t="s">
        <v>210</v>
      </c>
      <c r="G9" s="37" t="s">
        <v>235</v>
      </c>
      <c r="H9" s="40" t="s">
        <v>83</v>
      </c>
      <c r="I9" s="37" t="s">
        <v>149</v>
      </c>
      <c r="J9" s="37" t="s">
        <v>236</v>
      </c>
      <c r="K9" s="37" t="s">
        <v>237</v>
      </c>
      <c r="L9" s="37" t="s">
        <v>238</v>
      </c>
      <c r="M9" s="37" t="s">
        <v>239</v>
      </c>
    </row>
    <row r="10" customFormat="false" ht="90.75" hidden="false" customHeight="true" outlineLevel="0" collapsed="false">
      <c r="A10" s="37" t="s">
        <v>240</v>
      </c>
      <c r="B10" s="37" t="s">
        <v>241</v>
      </c>
      <c r="C10" s="37" t="s">
        <v>189</v>
      </c>
      <c r="D10" s="37" t="s">
        <v>242</v>
      </c>
      <c r="E10" s="38" t="s">
        <v>86</v>
      </c>
      <c r="F10" s="37" t="s">
        <v>243</v>
      </c>
      <c r="G10" s="37" t="s">
        <v>56</v>
      </c>
      <c r="H10" s="40" t="s">
        <v>85</v>
      </c>
      <c r="I10" s="37" t="s">
        <v>149</v>
      </c>
      <c r="J10" s="37" t="s">
        <v>244</v>
      </c>
      <c r="K10" s="37" t="s">
        <v>245</v>
      </c>
      <c r="L10" s="37" t="s">
        <v>246</v>
      </c>
      <c r="M10" s="37" t="s">
        <v>247</v>
      </c>
    </row>
    <row r="11" customFormat="false" ht="135.75" hidden="false" customHeight="true" outlineLevel="0" collapsed="false">
      <c r="A11" s="37" t="s">
        <v>248</v>
      </c>
      <c r="B11" s="37" t="s">
        <v>249</v>
      </c>
      <c r="C11" s="37" t="s">
        <v>250</v>
      </c>
      <c r="D11" s="37" t="s">
        <v>156</v>
      </c>
      <c r="E11" s="38" t="s">
        <v>86</v>
      </c>
      <c r="F11" s="37" t="s">
        <v>251</v>
      </c>
      <c r="G11" s="37" t="s">
        <v>97</v>
      </c>
      <c r="H11" s="40" t="s">
        <v>83</v>
      </c>
      <c r="I11" s="37" t="s">
        <v>149</v>
      </c>
      <c r="J11" s="37" t="s">
        <v>252</v>
      </c>
      <c r="K11" s="37" t="s">
        <v>253</v>
      </c>
      <c r="L11" s="37" t="s">
        <v>254</v>
      </c>
      <c r="M11" s="37" t="s">
        <v>255</v>
      </c>
    </row>
    <row r="12" customFormat="false" ht="135.75" hidden="false" customHeight="true" outlineLevel="0" collapsed="false">
      <c r="A12" s="37" t="s">
        <v>256</v>
      </c>
      <c r="B12" s="37" t="s">
        <v>257</v>
      </c>
      <c r="C12" s="37" t="s">
        <v>189</v>
      </c>
      <c r="D12" s="37" t="s">
        <v>156</v>
      </c>
      <c r="E12" s="41" t="s">
        <v>88</v>
      </c>
      <c r="F12" s="37" t="s">
        <v>251</v>
      </c>
      <c r="G12" s="37" t="s">
        <v>258</v>
      </c>
      <c r="H12" s="40" t="s">
        <v>85</v>
      </c>
      <c r="I12" s="37" t="s">
        <v>149</v>
      </c>
      <c r="J12" s="37" t="s">
        <v>259</v>
      </c>
      <c r="K12" s="37" t="s">
        <v>260</v>
      </c>
      <c r="L12" s="37" t="s">
        <v>261</v>
      </c>
      <c r="M12" s="37" t="s">
        <v>262</v>
      </c>
    </row>
    <row r="13" customFormat="false" ht="113.25" hidden="false" customHeight="true" outlineLevel="0" collapsed="false">
      <c r="A13" s="37" t="s">
        <v>263</v>
      </c>
      <c r="B13" s="37" t="s">
        <v>264</v>
      </c>
      <c r="C13" s="37" t="s">
        <v>189</v>
      </c>
      <c r="D13" s="37" t="s">
        <v>156</v>
      </c>
      <c r="E13" s="41" t="s">
        <v>88</v>
      </c>
      <c r="F13" s="37" t="s">
        <v>210</v>
      </c>
      <c r="G13" s="37" t="s">
        <v>223</v>
      </c>
      <c r="H13" s="40" t="s">
        <v>85</v>
      </c>
      <c r="I13" s="37" t="s">
        <v>149</v>
      </c>
      <c r="J13" s="37" t="s">
        <v>265</v>
      </c>
      <c r="K13" s="37" t="s">
        <v>266</v>
      </c>
      <c r="L13" s="37" t="s">
        <v>267</v>
      </c>
      <c r="M13" s="37" t="s">
        <v>268</v>
      </c>
    </row>
    <row r="14" customFormat="false" ht="102" hidden="false" customHeight="true" outlineLevel="0" collapsed="false">
      <c r="A14" s="37" t="s">
        <v>269</v>
      </c>
      <c r="B14" s="37" t="s">
        <v>270</v>
      </c>
      <c r="C14" s="37" t="s">
        <v>189</v>
      </c>
      <c r="D14" s="37" t="s">
        <v>156</v>
      </c>
      <c r="E14" s="41" t="s">
        <v>88</v>
      </c>
      <c r="F14" s="37" t="s">
        <v>251</v>
      </c>
      <c r="G14" s="37" t="s">
        <v>223</v>
      </c>
      <c r="H14" s="40" t="s">
        <v>85</v>
      </c>
      <c r="I14" s="37" t="s">
        <v>149</v>
      </c>
      <c r="J14" s="37" t="s">
        <v>271</v>
      </c>
      <c r="K14" s="37" t="s">
        <v>272</v>
      </c>
      <c r="L14" s="37" t="s">
        <v>273</v>
      </c>
      <c r="M14" s="37" t="s">
        <v>274</v>
      </c>
    </row>
    <row r="15" customFormat="false" ht="124.5" hidden="false" customHeight="true" outlineLevel="0" collapsed="false">
      <c r="A15" s="37" t="s">
        <v>275</v>
      </c>
      <c r="B15" s="37" t="s">
        <v>276</v>
      </c>
      <c r="C15" s="37" t="s">
        <v>277</v>
      </c>
      <c r="D15" s="37" t="s">
        <v>148</v>
      </c>
      <c r="E15" s="38" t="s">
        <v>86</v>
      </c>
      <c r="F15" s="37" t="s">
        <v>210</v>
      </c>
      <c r="G15" s="37" t="s">
        <v>278</v>
      </c>
      <c r="H15" s="40" t="s">
        <v>85</v>
      </c>
      <c r="I15" s="37" t="s">
        <v>149</v>
      </c>
      <c r="J15" s="37" t="s">
        <v>279</v>
      </c>
      <c r="K15" s="37" t="s">
        <v>280</v>
      </c>
      <c r="L15" s="37" t="s">
        <v>281</v>
      </c>
      <c r="M15" s="37" t="s">
        <v>282</v>
      </c>
    </row>
    <row r="16" customFormat="false" ht="113.25" hidden="false" customHeight="true" outlineLevel="0" collapsed="false">
      <c r="A16" s="37" t="s">
        <v>179</v>
      </c>
      <c r="B16" s="37" t="s">
        <v>283</v>
      </c>
      <c r="C16" s="37" t="s">
        <v>277</v>
      </c>
      <c r="D16" s="37" t="s">
        <v>148</v>
      </c>
      <c r="E16" s="38" t="s">
        <v>86</v>
      </c>
      <c r="F16" s="37" t="s">
        <v>251</v>
      </c>
      <c r="G16" s="37" t="s">
        <v>284</v>
      </c>
      <c r="H16" s="40" t="s">
        <v>83</v>
      </c>
      <c r="I16" s="37" t="s">
        <v>149</v>
      </c>
      <c r="J16" s="37" t="s">
        <v>285</v>
      </c>
      <c r="K16" s="37" t="s">
        <v>286</v>
      </c>
      <c r="L16" s="37" t="s">
        <v>287</v>
      </c>
      <c r="M16" s="37" t="s">
        <v>288</v>
      </c>
    </row>
    <row r="17" customFormat="false" ht="147" hidden="false" customHeight="true" outlineLevel="0" collapsed="false">
      <c r="A17" s="37" t="s">
        <v>289</v>
      </c>
      <c r="B17" s="37" t="s">
        <v>290</v>
      </c>
      <c r="C17" s="37" t="s">
        <v>250</v>
      </c>
      <c r="D17" s="37" t="s">
        <v>156</v>
      </c>
      <c r="E17" s="38" t="s">
        <v>86</v>
      </c>
      <c r="F17" s="37" t="s">
        <v>210</v>
      </c>
      <c r="G17" s="37" t="s">
        <v>157</v>
      </c>
      <c r="H17" s="40" t="s">
        <v>85</v>
      </c>
      <c r="I17" s="37" t="s">
        <v>149</v>
      </c>
      <c r="J17" s="37" t="s">
        <v>291</v>
      </c>
      <c r="K17" s="37" t="s">
        <v>292</v>
      </c>
      <c r="L17" s="37" t="s">
        <v>293</v>
      </c>
      <c r="M17" s="37" t="s">
        <v>294</v>
      </c>
    </row>
    <row r="18" customFormat="false" ht="147" hidden="false" customHeight="true" outlineLevel="0" collapsed="false">
      <c r="A18" s="37" t="s">
        <v>295</v>
      </c>
      <c r="B18" s="37" t="s">
        <v>296</v>
      </c>
      <c r="C18" s="37" t="s">
        <v>189</v>
      </c>
      <c r="D18" s="37" t="s">
        <v>156</v>
      </c>
      <c r="E18" s="38" t="s">
        <v>86</v>
      </c>
      <c r="F18" s="37" t="s">
        <v>210</v>
      </c>
      <c r="G18" s="37" t="s">
        <v>223</v>
      </c>
      <c r="H18" s="40" t="s">
        <v>85</v>
      </c>
      <c r="I18" s="37" t="s">
        <v>149</v>
      </c>
      <c r="J18" s="37" t="s">
        <v>297</v>
      </c>
      <c r="K18" s="37" t="s">
        <v>298</v>
      </c>
      <c r="L18" s="37" t="s">
        <v>299</v>
      </c>
      <c r="M18" s="37" t="s">
        <v>300</v>
      </c>
    </row>
    <row r="19" customFormat="false" ht="124.5" hidden="false" customHeight="true" outlineLevel="0" collapsed="false">
      <c r="A19" s="37" t="s">
        <v>301</v>
      </c>
      <c r="B19" s="37" t="s">
        <v>302</v>
      </c>
      <c r="C19" s="37" t="s">
        <v>277</v>
      </c>
      <c r="D19" s="37" t="s">
        <v>148</v>
      </c>
      <c r="E19" s="38" t="s">
        <v>86</v>
      </c>
      <c r="F19" s="37" t="s">
        <v>251</v>
      </c>
      <c r="G19" s="37" t="s">
        <v>284</v>
      </c>
      <c r="H19" s="40" t="s">
        <v>85</v>
      </c>
      <c r="I19" s="37" t="s">
        <v>149</v>
      </c>
      <c r="J19" s="37" t="s">
        <v>303</v>
      </c>
      <c r="K19" s="37" t="s">
        <v>304</v>
      </c>
      <c r="L19" s="37" t="s">
        <v>305</v>
      </c>
      <c r="M19" s="37" t="s">
        <v>306</v>
      </c>
    </row>
    <row r="20" customFormat="false" ht="147" hidden="false" customHeight="true" outlineLevel="0" collapsed="false">
      <c r="A20" s="37" t="s">
        <v>307</v>
      </c>
      <c r="B20" s="37" t="s">
        <v>308</v>
      </c>
      <c r="C20" s="37" t="s">
        <v>277</v>
      </c>
      <c r="D20" s="37" t="s">
        <v>148</v>
      </c>
      <c r="E20" s="38" t="s">
        <v>86</v>
      </c>
      <c r="F20" s="37" t="s">
        <v>210</v>
      </c>
      <c r="G20" s="37" t="s">
        <v>278</v>
      </c>
      <c r="H20" s="40" t="s">
        <v>85</v>
      </c>
      <c r="I20" s="37" t="s">
        <v>149</v>
      </c>
      <c r="J20" s="37" t="s">
        <v>309</v>
      </c>
      <c r="K20" s="37" t="s">
        <v>310</v>
      </c>
      <c r="L20" s="37" t="s">
        <v>311</v>
      </c>
      <c r="M20" s="37" t="s">
        <v>312</v>
      </c>
    </row>
    <row r="21" customFormat="false" ht="135.75" hidden="false" customHeight="true" outlineLevel="0" collapsed="false">
      <c r="A21" s="37" t="s">
        <v>313</v>
      </c>
      <c r="B21" s="37" t="s">
        <v>314</v>
      </c>
      <c r="C21" s="37" t="s">
        <v>250</v>
      </c>
      <c r="D21" s="37" t="s">
        <v>148</v>
      </c>
      <c r="E21" s="38" t="s">
        <v>86</v>
      </c>
      <c r="F21" s="37" t="s">
        <v>210</v>
      </c>
      <c r="G21" s="37" t="s">
        <v>97</v>
      </c>
      <c r="H21" s="40" t="s">
        <v>85</v>
      </c>
      <c r="I21" s="37" t="s">
        <v>149</v>
      </c>
      <c r="J21" s="37" t="s">
        <v>315</v>
      </c>
      <c r="K21" s="37" t="s">
        <v>316</v>
      </c>
      <c r="L21" s="37" t="s">
        <v>317</v>
      </c>
      <c r="M21" s="37" t="s">
        <v>318</v>
      </c>
    </row>
    <row r="22" customFormat="false" ht="147" hidden="false" customHeight="true" outlineLevel="0" collapsed="false">
      <c r="A22" s="37" t="s">
        <v>319</v>
      </c>
      <c r="B22" s="37" t="s">
        <v>320</v>
      </c>
      <c r="C22" s="37" t="s">
        <v>277</v>
      </c>
      <c r="D22" s="37" t="s">
        <v>148</v>
      </c>
      <c r="E22" s="38" t="s">
        <v>86</v>
      </c>
      <c r="F22" s="37" t="s">
        <v>251</v>
      </c>
      <c r="G22" s="37" t="s">
        <v>284</v>
      </c>
      <c r="H22" s="40" t="s">
        <v>85</v>
      </c>
      <c r="I22" s="37" t="s">
        <v>149</v>
      </c>
      <c r="J22" s="37" t="s">
        <v>321</v>
      </c>
      <c r="K22" s="37" t="s">
        <v>322</v>
      </c>
      <c r="L22" s="37" t="s">
        <v>323</v>
      </c>
      <c r="M22" s="37" t="s">
        <v>324</v>
      </c>
    </row>
    <row r="23" customFormat="false" ht="23.25" hidden="false" customHeight="true" outlineLevel="0" collapsed="false">
      <c r="A23" s="37" t="s">
        <v>325</v>
      </c>
      <c r="B23" s="37" t="s">
        <v>326</v>
      </c>
      <c r="C23" s="37" t="s">
        <v>189</v>
      </c>
      <c r="D23" s="37" t="s">
        <v>148</v>
      </c>
      <c r="E23" s="38" t="s">
        <v>86</v>
      </c>
      <c r="F23" s="37" t="s">
        <v>48</v>
      </c>
      <c r="G23" s="37" t="s">
        <v>56</v>
      </c>
      <c r="H23" s="42" t="s">
        <v>83</v>
      </c>
      <c r="I23" s="37" t="s">
        <v>149</v>
      </c>
      <c r="J23" s="37" t="s">
        <v>327</v>
      </c>
      <c r="K23" s="37" t="s">
        <v>328</v>
      </c>
      <c r="L23" s="37" t="s">
        <v>329</v>
      </c>
      <c r="M23" s="37" t="s">
        <v>330</v>
      </c>
    </row>
    <row r="24" customFormat="false" ht="23.25" hidden="false" customHeight="true" outlineLevel="0" collapsed="false">
      <c r="A24" s="37" t="s">
        <v>331</v>
      </c>
      <c r="B24" s="37" t="s">
        <v>332</v>
      </c>
      <c r="C24" s="37" t="s">
        <v>189</v>
      </c>
      <c r="D24" s="37" t="s">
        <v>148</v>
      </c>
      <c r="E24" s="38" t="s">
        <v>86</v>
      </c>
      <c r="F24" s="37" t="s">
        <v>48</v>
      </c>
      <c r="G24" s="37" t="s">
        <v>56</v>
      </c>
      <c r="H24" s="42" t="s">
        <v>83</v>
      </c>
      <c r="I24" s="37" t="s">
        <v>149</v>
      </c>
      <c r="J24" s="37" t="s">
        <v>333</v>
      </c>
      <c r="K24" s="37" t="s">
        <v>334</v>
      </c>
      <c r="L24" s="37" t="s">
        <v>152</v>
      </c>
      <c r="M24" s="37" t="s">
        <v>335</v>
      </c>
    </row>
    <row r="25" customFormat="false" ht="23.25" hidden="false" customHeight="true" outlineLevel="0" collapsed="false">
      <c r="A25" s="37" t="s">
        <v>336</v>
      </c>
      <c r="B25" s="37" t="s">
        <v>337</v>
      </c>
      <c r="C25" s="37" t="s">
        <v>189</v>
      </c>
      <c r="D25" s="37" t="s">
        <v>148</v>
      </c>
      <c r="E25" s="38" t="s">
        <v>86</v>
      </c>
      <c r="F25" s="37" t="s">
        <v>48</v>
      </c>
      <c r="G25" s="37" t="s">
        <v>56</v>
      </c>
      <c r="H25" s="42" t="s">
        <v>83</v>
      </c>
      <c r="I25" s="37" t="s">
        <v>149</v>
      </c>
      <c r="J25" s="37" t="s">
        <v>338</v>
      </c>
      <c r="K25" s="37" t="s">
        <v>339</v>
      </c>
      <c r="L25" s="37" t="s">
        <v>152</v>
      </c>
      <c r="M25" s="37" t="s">
        <v>340</v>
      </c>
    </row>
    <row r="26" customFormat="false" ht="23.25" hidden="false" customHeight="true" outlineLevel="0" collapsed="false">
      <c r="A26" s="37" t="s">
        <v>341</v>
      </c>
      <c r="B26" s="37" t="s">
        <v>342</v>
      </c>
      <c r="C26" s="37" t="s">
        <v>189</v>
      </c>
      <c r="D26" s="37" t="s">
        <v>148</v>
      </c>
      <c r="E26" s="38" t="s">
        <v>86</v>
      </c>
      <c r="F26" s="37" t="s">
        <v>48</v>
      </c>
      <c r="G26" s="37" t="s">
        <v>56</v>
      </c>
      <c r="H26" s="42" t="s">
        <v>83</v>
      </c>
      <c r="I26" s="37" t="s">
        <v>149</v>
      </c>
      <c r="J26" s="37" t="s">
        <v>343</v>
      </c>
      <c r="K26" s="37" t="s">
        <v>344</v>
      </c>
      <c r="L26" s="37" t="s">
        <v>152</v>
      </c>
      <c r="M26" s="37" t="s">
        <v>340</v>
      </c>
    </row>
    <row r="27" customFormat="false" ht="23.25" hidden="false" customHeight="true" outlineLevel="0" collapsed="false">
      <c r="A27" s="37" t="s">
        <v>345</v>
      </c>
      <c r="B27" s="37" t="s">
        <v>346</v>
      </c>
      <c r="C27" s="37" t="s">
        <v>189</v>
      </c>
      <c r="D27" s="37" t="s">
        <v>148</v>
      </c>
      <c r="E27" s="38" t="s">
        <v>86</v>
      </c>
      <c r="F27" s="37" t="s">
        <v>57</v>
      </c>
      <c r="G27" s="37" t="s">
        <v>56</v>
      </c>
      <c r="H27" s="42" t="s">
        <v>83</v>
      </c>
      <c r="I27" s="37" t="s">
        <v>149</v>
      </c>
      <c r="J27" s="37" t="s">
        <v>347</v>
      </c>
      <c r="K27" s="37" t="s">
        <v>348</v>
      </c>
      <c r="L27" s="37" t="s">
        <v>152</v>
      </c>
      <c r="M27" s="37" t="s">
        <v>340</v>
      </c>
    </row>
    <row r="28" customFormat="false" ht="23.25" hidden="false" customHeight="true" outlineLevel="0" collapsed="false">
      <c r="A28" s="37" t="s">
        <v>152</v>
      </c>
      <c r="B28" s="37" t="s">
        <v>349</v>
      </c>
      <c r="C28" s="37" t="s">
        <v>350</v>
      </c>
      <c r="D28" s="37" t="s">
        <v>148</v>
      </c>
      <c r="E28" s="38" t="s">
        <v>86</v>
      </c>
      <c r="F28" s="37" t="s">
        <v>48</v>
      </c>
      <c r="G28" s="37" t="s">
        <v>56</v>
      </c>
      <c r="H28" s="42" t="s">
        <v>83</v>
      </c>
      <c r="I28" s="37" t="s">
        <v>149</v>
      </c>
      <c r="J28" s="37" t="s">
        <v>351</v>
      </c>
      <c r="K28" s="37" t="s">
        <v>352</v>
      </c>
      <c r="L28" s="37" t="s">
        <v>353</v>
      </c>
      <c r="M28" s="37" t="s">
        <v>340</v>
      </c>
    </row>
    <row r="29" customFormat="false" ht="157.5" hidden="false" customHeight="true" outlineLevel="0" collapsed="false">
      <c r="A29" s="37" t="s">
        <v>354</v>
      </c>
      <c r="B29" s="37" t="s">
        <v>355</v>
      </c>
      <c r="C29" s="37" t="s">
        <v>189</v>
      </c>
      <c r="D29" s="37" t="s">
        <v>356</v>
      </c>
      <c r="E29" s="38" t="s">
        <v>86</v>
      </c>
      <c r="F29" s="37" t="s">
        <v>210</v>
      </c>
      <c r="G29" s="37" t="s">
        <v>56</v>
      </c>
      <c r="H29" s="39" t="s">
        <v>191</v>
      </c>
      <c r="I29" s="37" t="s">
        <v>149</v>
      </c>
      <c r="J29" s="37" t="s">
        <v>357</v>
      </c>
      <c r="K29" s="37" t="s">
        <v>358</v>
      </c>
      <c r="L29" s="37" t="s">
        <v>359</v>
      </c>
      <c r="M29" s="37" t="s">
        <v>360</v>
      </c>
    </row>
    <row r="30" customFormat="false" ht="147" hidden="false" customHeight="true" outlineLevel="0" collapsed="false">
      <c r="A30" s="37" t="s">
        <v>361</v>
      </c>
      <c r="B30" s="37" t="s">
        <v>362</v>
      </c>
      <c r="C30" s="37" t="s">
        <v>250</v>
      </c>
      <c r="D30" s="37" t="s">
        <v>168</v>
      </c>
      <c r="E30" s="38" t="s">
        <v>86</v>
      </c>
      <c r="F30" s="37" t="s">
        <v>251</v>
      </c>
      <c r="G30" s="37" t="s">
        <v>97</v>
      </c>
      <c r="H30" s="39" t="s">
        <v>191</v>
      </c>
      <c r="I30" s="37" t="s">
        <v>149</v>
      </c>
      <c r="J30" s="37" t="s">
        <v>363</v>
      </c>
      <c r="K30" s="37" t="s">
        <v>364</v>
      </c>
      <c r="L30" s="37" t="s">
        <v>365</v>
      </c>
      <c r="M30" s="37" t="s">
        <v>366</v>
      </c>
    </row>
    <row r="31" customFormat="false" ht="135.75" hidden="false" customHeight="true" outlineLevel="0" collapsed="false">
      <c r="A31" s="37" t="s">
        <v>367</v>
      </c>
      <c r="B31" s="37" t="s">
        <v>368</v>
      </c>
      <c r="C31" s="37" t="s">
        <v>250</v>
      </c>
      <c r="D31" s="37" t="s">
        <v>242</v>
      </c>
      <c r="E31" s="38" t="s">
        <v>86</v>
      </c>
      <c r="F31" s="37" t="s">
        <v>251</v>
      </c>
      <c r="G31" s="37" t="s">
        <v>97</v>
      </c>
      <c r="H31" s="40" t="s">
        <v>83</v>
      </c>
      <c r="I31" s="37" t="s">
        <v>149</v>
      </c>
      <c r="J31" s="37" t="s">
        <v>369</v>
      </c>
      <c r="K31" s="37" t="s">
        <v>370</v>
      </c>
      <c r="L31" s="37" t="s">
        <v>246</v>
      </c>
      <c r="M31" s="37" t="s">
        <v>371</v>
      </c>
    </row>
    <row r="32" customFormat="false" ht="168.75" hidden="false" customHeight="true" outlineLevel="0" collapsed="false">
      <c r="A32" s="37" t="s">
        <v>372</v>
      </c>
      <c r="B32" s="37" t="s">
        <v>373</v>
      </c>
      <c r="C32" s="37" t="s">
        <v>374</v>
      </c>
      <c r="D32" s="37" t="s">
        <v>156</v>
      </c>
      <c r="E32" s="38" t="s">
        <v>86</v>
      </c>
      <c r="F32" s="37" t="s">
        <v>210</v>
      </c>
      <c r="G32" s="37" t="s">
        <v>375</v>
      </c>
      <c r="H32" s="40" t="s">
        <v>83</v>
      </c>
      <c r="I32" s="37" t="s">
        <v>149</v>
      </c>
      <c r="J32" s="37" t="s">
        <v>376</v>
      </c>
      <c r="K32" s="37" t="s">
        <v>377</v>
      </c>
      <c r="L32" s="37" t="s">
        <v>378</v>
      </c>
      <c r="M32" s="37" t="s">
        <v>379</v>
      </c>
    </row>
    <row r="33" customFormat="false" ht="168.75" hidden="false" customHeight="true" outlineLevel="0" collapsed="false">
      <c r="A33" s="37" t="s">
        <v>154</v>
      </c>
      <c r="B33" s="37" t="s">
        <v>380</v>
      </c>
      <c r="C33" s="37" t="s">
        <v>250</v>
      </c>
      <c r="D33" s="37" t="s">
        <v>156</v>
      </c>
      <c r="E33" s="38" t="s">
        <v>86</v>
      </c>
      <c r="F33" s="37" t="s">
        <v>190</v>
      </c>
      <c r="G33" s="37" t="s">
        <v>157</v>
      </c>
      <c r="H33" s="40" t="s">
        <v>83</v>
      </c>
      <c r="I33" s="37" t="s">
        <v>149</v>
      </c>
      <c r="J33" s="37" t="s">
        <v>381</v>
      </c>
      <c r="K33" s="37" t="s">
        <v>382</v>
      </c>
      <c r="L33" s="37" t="s">
        <v>383</v>
      </c>
      <c r="M33" s="37" t="s">
        <v>384</v>
      </c>
    </row>
    <row r="34" customFormat="false" ht="147" hidden="false" customHeight="true" outlineLevel="0" collapsed="false">
      <c r="A34" s="37" t="s">
        <v>385</v>
      </c>
      <c r="B34" s="37" t="s">
        <v>386</v>
      </c>
      <c r="C34" s="37" t="s">
        <v>250</v>
      </c>
      <c r="D34" s="37" t="s">
        <v>242</v>
      </c>
      <c r="E34" s="38" t="s">
        <v>86</v>
      </c>
      <c r="F34" s="37" t="s">
        <v>251</v>
      </c>
      <c r="G34" s="37" t="s">
        <v>97</v>
      </c>
      <c r="H34" s="40" t="s">
        <v>85</v>
      </c>
      <c r="I34" s="37" t="s">
        <v>149</v>
      </c>
      <c r="J34" s="37" t="s">
        <v>387</v>
      </c>
      <c r="K34" s="37" t="s">
        <v>388</v>
      </c>
      <c r="L34" s="37" t="s">
        <v>389</v>
      </c>
      <c r="M34" s="37" t="s">
        <v>390</v>
      </c>
    </row>
    <row r="35" customFormat="false" ht="147" hidden="false" customHeight="true" outlineLevel="0" collapsed="false">
      <c r="A35" s="37" t="s">
        <v>391</v>
      </c>
      <c r="B35" s="37" t="s">
        <v>392</v>
      </c>
      <c r="C35" s="37" t="s">
        <v>189</v>
      </c>
      <c r="D35" s="37" t="s">
        <v>156</v>
      </c>
      <c r="E35" s="38" t="s">
        <v>86</v>
      </c>
      <c r="F35" s="37" t="s">
        <v>251</v>
      </c>
      <c r="G35" s="37" t="s">
        <v>56</v>
      </c>
      <c r="H35" s="40" t="s">
        <v>85</v>
      </c>
      <c r="I35" s="37" t="s">
        <v>149</v>
      </c>
      <c r="J35" s="37" t="s">
        <v>393</v>
      </c>
      <c r="K35" s="37" t="s">
        <v>394</v>
      </c>
      <c r="L35" s="37" t="s">
        <v>395</v>
      </c>
      <c r="M35" s="37" t="s">
        <v>396</v>
      </c>
    </row>
    <row r="36" customFormat="false" ht="135.75" hidden="false" customHeight="true" outlineLevel="0" collapsed="false">
      <c r="A36" s="37" t="s">
        <v>397</v>
      </c>
      <c r="B36" s="37" t="s">
        <v>398</v>
      </c>
      <c r="C36" s="37" t="s">
        <v>189</v>
      </c>
      <c r="D36" s="37" t="s">
        <v>156</v>
      </c>
      <c r="E36" s="38" t="s">
        <v>86</v>
      </c>
      <c r="F36" s="37" t="s">
        <v>251</v>
      </c>
      <c r="G36" s="37" t="s">
        <v>56</v>
      </c>
      <c r="H36" s="40" t="s">
        <v>85</v>
      </c>
      <c r="I36" s="37" t="s">
        <v>149</v>
      </c>
      <c r="J36" s="37" t="s">
        <v>399</v>
      </c>
      <c r="K36" s="37" t="s">
        <v>400</v>
      </c>
      <c r="L36" s="37" t="s">
        <v>401</v>
      </c>
      <c r="M36" s="37" t="s">
        <v>402</v>
      </c>
    </row>
    <row r="37" customFormat="false" ht="79.5" hidden="false" customHeight="true" outlineLevel="0" collapsed="false">
      <c r="A37" s="37" t="s">
        <v>403</v>
      </c>
      <c r="B37" s="37" t="s">
        <v>404</v>
      </c>
      <c r="C37" s="37" t="s">
        <v>189</v>
      </c>
      <c r="D37" s="37" t="s">
        <v>156</v>
      </c>
      <c r="E37" s="41" t="s">
        <v>88</v>
      </c>
      <c r="F37" s="37" t="s">
        <v>243</v>
      </c>
      <c r="G37" s="37" t="s">
        <v>56</v>
      </c>
      <c r="H37" s="40" t="s">
        <v>85</v>
      </c>
      <c r="I37" s="37" t="s">
        <v>149</v>
      </c>
      <c r="J37" s="37" t="s">
        <v>405</v>
      </c>
      <c r="K37" s="37" t="s">
        <v>406</v>
      </c>
      <c r="L37" s="37" t="s">
        <v>246</v>
      </c>
      <c r="M37" s="37" t="s">
        <v>407</v>
      </c>
    </row>
    <row r="38" customFormat="false" ht="23.25" hidden="false" customHeight="true" outlineLevel="0" collapsed="false">
      <c r="A38" s="37" t="s">
        <v>408</v>
      </c>
      <c r="B38" s="37" t="s">
        <v>409</v>
      </c>
      <c r="C38" s="37" t="s">
        <v>410</v>
      </c>
      <c r="D38" s="37" t="s">
        <v>242</v>
      </c>
      <c r="E38" s="38" t="s">
        <v>86</v>
      </c>
      <c r="F38" s="37" t="s">
        <v>63</v>
      </c>
      <c r="G38" s="37" t="s">
        <v>97</v>
      </c>
      <c r="H38" s="42" t="s">
        <v>83</v>
      </c>
      <c r="I38" s="37" t="s">
        <v>149</v>
      </c>
      <c r="J38" s="37" t="s">
        <v>411</v>
      </c>
      <c r="K38" s="37" t="s">
        <v>412</v>
      </c>
      <c r="L38" s="37" t="s">
        <v>413</v>
      </c>
      <c r="M38" s="37" t="s">
        <v>340</v>
      </c>
    </row>
    <row r="39" customFormat="false" ht="23.25" hidden="false" customHeight="true" outlineLevel="0" collapsed="false">
      <c r="A39" s="37" t="s">
        <v>414</v>
      </c>
      <c r="B39" s="37" t="s">
        <v>415</v>
      </c>
      <c r="C39" s="37" t="s">
        <v>250</v>
      </c>
      <c r="D39" s="37" t="s">
        <v>242</v>
      </c>
      <c r="E39" s="38" t="s">
        <v>86</v>
      </c>
      <c r="F39" s="37" t="s">
        <v>63</v>
      </c>
      <c r="G39" s="37" t="s">
        <v>97</v>
      </c>
      <c r="H39" s="42" t="s">
        <v>83</v>
      </c>
      <c r="I39" s="37" t="s">
        <v>149</v>
      </c>
      <c r="J39" s="37" t="s">
        <v>416</v>
      </c>
      <c r="K39" s="37" t="s">
        <v>417</v>
      </c>
      <c r="L39" s="37" t="s">
        <v>413</v>
      </c>
      <c r="M39" s="37" t="s">
        <v>340</v>
      </c>
    </row>
    <row r="40" customFormat="false" ht="23.25" hidden="false" customHeight="true" outlineLevel="0" collapsed="false">
      <c r="A40" s="37" t="s">
        <v>413</v>
      </c>
      <c r="B40" s="37" t="s">
        <v>418</v>
      </c>
      <c r="C40" s="37" t="s">
        <v>419</v>
      </c>
      <c r="D40" s="37" t="s">
        <v>168</v>
      </c>
      <c r="E40" s="38" t="s">
        <v>86</v>
      </c>
      <c r="F40" s="37" t="s">
        <v>48</v>
      </c>
      <c r="G40" s="37" t="s">
        <v>97</v>
      </c>
      <c r="H40" s="42" t="s">
        <v>83</v>
      </c>
      <c r="I40" s="37" t="s">
        <v>149</v>
      </c>
      <c r="J40" s="37" t="s">
        <v>420</v>
      </c>
      <c r="K40" s="37" t="s">
        <v>421</v>
      </c>
      <c r="L40" s="37" t="s">
        <v>246</v>
      </c>
      <c r="M40" s="37" t="s">
        <v>422</v>
      </c>
    </row>
    <row r="41" customFormat="false" ht="23.25" hidden="false" customHeight="true" outlineLevel="0" collapsed="false">
      <c r="A41" s="37" t="s">
        <v>423</v>
      </c>
      <c r="B41" s="37" t="s">
        <v>424</v>
      </c>
      <c r="C41" s="37" t="s">
        <v>250</v>
      </c>
      <c r="D41" s="37" t="s">
        <v>242</v>
      </c>
      <c r="E41" s="38" t="s">
        <v>86</v>
      </c>
      <c r="F41" s="37" t="s">
        <v>63</v>
      </c>
      <c r="G41" s="37" t="s">
        <v>97</v>
      </c>
      <c r="H41" s="42" t="s">
        <v>83</v>
      </c>
      <c r="I41" s="37" t="s">
        <v>149</v>
      </c>
      <c r="J41" s="37" t="s">
        <v>425</v>
      </c>
      <c r="K41" s="37" t="s">
        <v>426</v>
      </c>
      <c r="L41" s="37" t="s">
        <v>413</v>
      </c>
      <c r="M41" s="37" t="s">
        <v>427</v>
      </c>
    </row>
    <row r="42" customFormat="false" ht="23.25" hidden="false" customHeight="true" outlineLevel="0" collapsed="false">
      <c r="A42" s="37" t="s">
        <v>428</v>
      </c>
      <c r="B42" s="37" t="s">
        <v>429</v>
      </c>
      <c r="C42" s="37" t="s">
        <v>410</v>
      </c>
      <c r="D42" s="37" t="s">
        <v>242</v>
      </c>
      <c r="E42" s="38" t="s">
        <v>86</v>
      </c>
      <c r="F42" s="37" t="s">
        <v>63</v>
      </c>
      <c r="G42" s="37" t="s">
        <v>97</v>
      </c>
      <c r="H42" s="42" t="s">
        <v>83</v>
      </c>
      <c r="I42" s="37" t="s">
        <v>149</v>
      </c>
      <c r="J42" s="37" t="s">
        <v>430</v>
      </c>
      <c r="K42" s="37" t="s">
        <v>431</v>
      </c>
      <c r="L42" s="37" t="s">
        <v>413</v>
      </c>
      <c r="M42" s="37" t="s">
        <v>427</v>
      </c>
    </row>
    <row r="43" customFormat="false" ht="23.25" hidden="false" customHeight="true" outlineLevel="0" collapsed="false">
      <c r="A43" s="37" t="s">
        <v>432</v>
      </c>
      <c r="B43" s="37" t="s">
        <v>433</v>
      </c>
      <c r="C43" s="37" t="s">
        <v>250</v>
      </c>
      <c r="D43" s="37" t="s">
        <v>242</v>
      </c>
      <c r="E43" s="38" t="s">
        <v>86</v>
      </c>
      <c r="F43" s="37" t="s">
        <v>63</v>
      </c>
      <c r="G43" s="37" t="s">
        <v>97</v>
      </c>
      <c r="H43" s="42" t="s">
        <v>83</v>
      </c>
      <c r="I43" s="37" t="s">
        <v>149</v>
      </c>
      <c r="J43" s="37" t="s">
        <v>434</v>
      </c>
      <c r="K43" s="37" t="s">
        <v>435</v>
      </c>
      <c r="L43" s="37" t="s">
        <v>413</v>
      </c>
      <c r="M43" s="37" t="s">
        <v>427</v>
      </c>
    </row>
    <row r="44" customFormat="false" ht="23.25" hidden="false" customHeight="true" outlineLevel="0" collapsed="false">
      <c r="A44" s="37" t="s">
        <v>436</v>
      </c>
      <c r="B44" s="37" t="s">
        <v>437</v>
      </c>
      <c r="C44" s="37" t="s">
        <v>250</v>
      </c>
      <c r="D44" s="37" t="s">
        <v>156</v>
      </c>
      <c r="E44" s="38" t="s">
        <v>86</v>
      </c>
      <c r="F44" s="37" t="s">
        <v>63</v>
      </c>
      <c r="G44" s="37" t="s">
        <v>97</v>
      </c>
      <c r="H44" s="42" t="s">
        <v>83</v>
      </c>
      <c r="I44" s="37" t="s">
        <v>149</v>
      </c>
      <c r="J44" s="37" t="s">
        <v>438</v>
      </c>
      <c r="K44" s="37" t="s">
        <v>439</v>
      </c>
      <c r="L44" s="37" t="s">
        <v>413</v>
      </c>
      <c r="M44" s="37" t="s">
        <v>427</v>
      </c>
    </row>
    <row r="45" customFormat="false" ht="23.25" hidden="false" customHeight="true" outlineLevel="0" collapsed="false">
      <c r="A45" s="37" t="s">
        <v>440</v>
      </c>
      <c r="B45" s="37" t="s">
        <v>441</v>
      </c>
      <c r="C45" s="37" t="s">
        <v>250</v>
      </c>
      <c r="D45" s="37" t="s">
        <v>156</v>
      </c>
      <c r="E45" s="38" t="s">
        <v>86</v>
      </c>
      <c r="F45" s="37" t="s">
        <v>63</v>
      </c>
      <c r="G45" s="37" t="s">
        <v>97</v>
      </c>
      <c r="H45" s="42" t="s">
        <v>83</v>
      </c>
      <c r="I45" s="37" t="s">
        <v>149</v>
      </c>
      <c r="J45" s="37" t="s">
        <v>442</v>
      </c>
      <c r="K45" s="37" t="s">
        <v>443</v>
      </c>
      <c r="L45" s="37" t="s">
        <v>413</v>
      </c>
      <c r="M45" s="37" t="s">
        <v>427</v>
      </c>
    </row>
    <row r="46" customFormat="false" ht="147" hidden="false" customHeight="true" outlineLevel="0" collapsed="false">
      <c r="A46" s="37" t="s">
        <v>444</v>
      </c>
      <c r="B46" s="37" t="s">
        <v>445</v>
      </c>
      <c r="C46" s="37" t="s">
        <v>250</v>
      </c>
      <c r="D46" s="37" t="s">
        <v>156</v>
      </c>
      <c r="E46" s="38" t="s">
        <v>86</v>
      </c>
      <c r="F46" s="37" t="s">
        <v>210</v>
      </c>
      <c r="G46" s="37" t="s">
        <v>97</v>
      </c>
      <c r="H46" s="40" t="s">
        <v>83</v>
      </c>
      <c r="I46" s="37" t="s">
        <v>149</v>
      </c>
      <c r="J46" s="37" t="s">
        <v>446</v>
      </c>
      <c r="K46" s="37" t="s">
        <v>447</v>
      </c>
      <c r="L46" s="37" t="s">
        <v>246</v>
      </c>
      <c r="M46" s="37" t="s">
        <v>448</v>
      </c>
    </row>
    <row r="47" customFormat="false" ht="23.25" hidden="false" customHeight="true" outlineLevel="0" collapsed="false">
      <c r="A47" s="37" t="s">
        <v>449</v>
      </c>
      <c r="B47" s="37" t="s">
        <v>450</v>
      </c>
      <c r="C47" s="37" t="s">
        <v>250</v>
      </c>
      <c r="D47" s="37" t="s">
        <v>242</v>
      </c>
      <c r="E47" s="38" t="s">
        <v>86</v>
      </c>
      <c r="F47" s="37" t="s">
        <v>63</v>
      </c>
      <c r="G47" s="37" t="s">
        <v>97</v>
      </c>
      <c r="H47" s="42" t="s">
        <v>83</v>
      </c>
      <c r="I47" s="37" t="s">
        <v>149</v>
      </c>
      <c r="J47" s="37" t="s">
        <v>451</v>
      </c>
      <c r="K47" s="37" t="s">
        <v>452</v>
      </c>
      <c r="L47" s="37" t="s">
        <v>246</v>
      </c>
      <c r="M47" s="37" t="s">
        <v>427</v>
      </c>
    </row>
    <row r="48" customFormat="false" ht="34.5" hidden="false" customHeight="true" outlineLevel="0" collapsed="false">
      <c r="A48" s="37" t="s">
        <v>453</v>
      </c>
      <c r="B48" s="37" t="s">
        <v>454</v>
      </c>
      <c r="C48" s="37" t="s">
        <v>250</v>
      </c>
      <c r="D48" s="37" t="s">
        <v>156</v>
      </c>
      <c r="E48" s="38" t="s">
        <v>86</v>
      </c>
      <c r="F48" s="37" t="s">
        <v>63</v>
      </c>
      <c r="G48" s="37" t="s">
        <v>97</v>
      </c>
      <c r="H48" s="42" t="s">
        <v>83</v>
      </c>
      <c r="I48" s="37" t="s">
        <v>149</v>
      </c>
      <c r="J48" s="37" t="s">
        <v>455</v>
      </c>
      <c r="K48" s="37" t="s">
        <v>456</v>
      </c>
      <c r="L48" s="37" t="s">
        <v>413</v>
      </c>
      <c r="M48" s="37" t="s">
        <v>457</v>
      </c>
    </row>
    <row r="49" customFormat="false" ht="23.25" hidden="false" customHeight="true" outlineLevel="0" collapsed="false">
      <c r="A49" s="37" t="s">
        <v>458</v>
      </c>
      <c r="B49" s="37" t="s">
        <v>459</v>
      </c>
      <c r="C49" s="37" t="s">
        <v>250</v>
      </c>
      <c r="D49" s="37" t="s">
        <v>168</v>
      </c>
      <c r="E49" s="38" t="s">
        <v>86</v>
      </c>
      <c r="F49" s="37" t="s">
        <v>63</v>
      </c>
      <c r="G49" s="37" t="s">
        <v>97</v>
      </c>
      <c r="H49" s="42" t="s">
        <v>83</v>
      </c>
      <c r="I49" s="37" t="s">
        <v>149</v>
      </c>
      <c r="J49" s="37" t="s">
        <v>460</v>
      </c>
      <c r="K49" s="37" t="s">
        <v>461</v>
      </c>
      <c r="L49" s="37" t="s">
        <v>413</v>
      </c>
      <c r="M49" s="37" t="s">
        <v>462</v>
      </c>
    </row>
    <row r="50" customFormat="false" ht="135.75" hidden="false" customHeight="true" outlineLevel="0" collapsed="false">
      <c r="A50" s="37" t="s">
        <v>463</v>
      </c>
      <c r="B50" s="37" t="s">
        <v>464</v>
      </c>
      <c r="C50" s="37" t="s">
        <v>250</v>
      </c>
      <c r="D50" s="37" t="s">
        <v>148</v>
      </c>
      <c r="E50" s="38" t="s">
        <v>86</v>
      </c>
      <c r="F50" s="37" t="s">
        <v>210</v>
      </c>
      <c r="G50" s="37" t="s">
        <v>278</v>
      </c>
      <c r="H50" s="40" t="s">
        <v>85</v>
      </c>
      <c r="I50" s="37" t="s">
        <v>149</v>
      </c>
      <c r="J50" s="37" t="s">
        <v>465</v>
      </c>
      <c r="K50" s="37" t="s">
        <v>466</v>
      </c>
      <c r="L50" s="37" t="s">
        <v>467</v>
      </c>
      <c r="M50" s="37" t="s">
        <v>468</v>
      </c>
    </row>
    <row r="51" customFormat="false" ht="135.75" hidden="false" customHeight="true" outlineLevel="0" collapsed="false">
      <c r="A51" s="37" t="s">
        <v>161</v>
      </c>
      <c r="B51" s="37" t="s">
        <v>469</v>
      </c>
      <c r="C51" s="37" t="s">
        <v>250</v>
      </c>
      <c r="D51" s="37" t="s">
        <v>156</v>
      </c>
      <c r="E51" s="41" t="s">
        <v>88</v>
      </c>
      <c r="F51" s="37" t="s">
        <v>210</v>
      </c>
      <c r="G51" s="37" t="s">
        <v>97</v>
      </c>
      <c r="H51" s="40" t="s">
        <v>83</v>
      </c>
      <c r="I51" s="37" t="s">
        <v>149</v>
      </c>
      <c r="J51" s="37" t="s">
        <v>470</v>
      </c>
      <c r="K51" s="37" t="s">
        <v>471</v>
      </c>
      <c r="L51" s="37" t="s">
        <v>472</v>
      </c>
      <c r="M51" s="37" t="s">
        <v>473</v>
      </c>
    </row>
    <row r="52" customFormat="false" ht="113.25" hidden="false" customHeight="true" outlineLevel="0" collapsed="false">
      <c r="A52" s="37" t="s">
        <v>474</v>
      </c>
      <c r="B52" s="37" t="s">
        <v>475</v>
      </c>
      <c r="C52" s="37" t="s">
        <v>476</v>
      </c>
      <c r="D52" s="37" t="s">
        <v>168</v>
      </c>
      <c r="E52" s="38" t="s">
        <v>86</v>
      </c>
      <c r="F52" s="37" t="s">
        <v>210</v>
      </c>
      <c r="G52" s="37" t="s">
        <v>477</v>
      </c>
      <c r="H52" s="40" t="s">
        <v>85</v>
      </c>
      <c r="I52" s="37" t="s">
        <v>149</v>
      </c>
      <c r="J52" s="37" t="s">
        <v>478</v>
      </c>
      <c r="K52" s="37" t="s">
        <v>479</v>
      </c>
      <c r="L52" s="37" t="s">
        <v>480</v>
      </c>
      <c r="M52" s="37" t="s">
        <v>481</v>
      </c>
    </row>
    <row r="53" customFormat="false" ht="113.25" hidden="false" customHeight="true" outlineLevel="0" collapsed="false">
      <c r="A53" s="37" t="s">
        <v>482</v>
      </c>
      <c r="B53" s="37" t="s">
        <v>483</v>
      </c>
      <c r="C53" s="37" t="s">
        <v>250</v>
      </c>
      <c r="D53" s="37" t="s">
        <v>242</v>
      </c>
      <c r="E53" s="41" t="s">
        <v>88</v>
      </c>
      <c r="F53" s="37" t="s">
        <v>243</v>
      </c>
      <c r="G53" s="37" t="s">
        <v>97</v>
      </c>
      <c r="H53" s="40" t="s">
        <v>85</v>
      </c>
      <c r="I53" s="37" t="s">
        <v>149</v>
      </c>
      <c r="J53" s="37" t="s">
        <v>484</v>
      </c>
      <c r="K53" s="37" t="s">
        <v>485</v>
      </c>
      <c r="L53" s="37" t="s">
        <v>246</v>
      </c>
      <c r="M53" s="37" t="s">
        <v>486</v>
      </c>
    </row>
    <row r="54" customFormat="false" ht="168.75" hidden="false" customHeight="true" outlineLevel="0" collapsed="false">
      <c r="A54" s="37" t="s">
        <v>487</v>
      </c>
      <c r="B54" s="37" t="s">
        <v>488</v>
      </c>
      <c r="C54" s="37" t="s">
        <v>419</v>
      </c>
      <c r="D54" s="37" t="s">
        <v>168</v>
      </c>
      <c r="E54" s="38" t="s">
        <v>86</v>
      </c>
      <c r="F54" s="37" t="s">
        <v>210</v>
      </c>
      <c r="G54" s="37" t="s">
        <v>97</v>
      </c>
      <c r="H54" s="40" t="s">
        <v>85</v>
      </c>
      <c r="I54" s="37" t="s">
        <v>149</v>
      </c>
      <c r="J54" s="37" t="s">
        <v>489</v>
      </c>
      <c r="K54" s="37" t="s">
        <v>490</v>
      </c>
      <c r="L54" s="37" t="s">
        <v>491</v>
      </c>
      <c r="M54" s="37" t="s">
        <v>492</v>
      </c>
    </row>
    <row r="55" customFormat="false" ht="23.25" hidden="false" customHeight="true" outlineLevel="0" collapsed="false">
      <c r="A55" s="37" t="s">
        <v>493</v>
      </c>
      <c r="B55" s="37" t="s">
        <v>494</v>
      </c>
      <c r="C55" s="37" t="s">
        <v>410</v>
      </c>
      <c r="D55" s="37" t="s">
        <v>242</v>
      </c>
      <c r="E55" s="38" t="s">
        <v>86</v>
      </c>
      <c r="F55" s="37" t="s">
        <v>63</v>
      </c>
      <c r="G55" s="37" t="s">
        <v>47</v>
      </c>
      <c r="H55" s="42" t="s">
        <v>83</v>
      </c>
      <c r="I55" s="37" t="s">
        <v>149</v>
      </c>
      <c r="J55" s="37" t="s">
        <v>495</v>
      </c>
      <c r="K55" s="37" t="s">
        <v>496</v>
      </c>
      <c r="L55" s="37" t="s">
        <v>246</v>
      </c>
      <c r="M55" s="37" t="s">
        <v>340</v>
      </c>
    </row>
    <row r="56" customFormat="false" ht="23.25" hidden="false" customHeight="true" outlineLevel="0" collapsed="false">
      <c r="A56" s="37" t="s">
        <v>497</v>
      </c>
      <c r="B56" s="37" t="s">
        <v>498</v>
      </c>
      <c r="C56" s="37" t="s">
        <v>410</v>
      </c>
      <c r="D56" s="37" t="s">
        <v>242</v>
      </c>
      <c r="E56" s="38" t="s">
        <v>86</v>
      </c>
      <c r="F56" s="37" t="s">
        <v>63</v>
      </c>
      <c r="G56" s="37" t="s">
        <v>47</v>
      </c>
      <c r="H56" s="42" t="s">
        <v>83</v>
      </c>
      <c r="I56" s="37" t="s">
        <v>149</v>
      </c>
      <c r="J56" s="37" t="s">
        <v>499</v>
      </c>
      <c r="K56" s="37" t="s">
        <v>500</v>
      </c>
      <c r="L56" s="37" t="s">
        <v>246</v>
      </c>
      <c r="M56" s="37" t="s">
        <v>340</v>
      </c>
    </row>
    <row r="57" customFormat="false" ht="23.25" hidden="false" customHeight="true" outlineLevel="0" collapsed="false">
      <c r="A57" s="37" t="s">
        <v>501</v>
      </c>
      <c r="B57" s="37" t="s">
        <v>502</v>
      </c>
      <c r="C57" s="37" t="s">
        <v>410</v>
      </c>
      <c r="D57" s="37" t="s">
        <v>242</v>
      </c>
      <c r="E57" s="38" t="s">
        <v>86</v>
      </c>
      <c r="F57" s="37" t="s">
        <v>48</v>
      </c>
      <c r="G57" s="37" t="s">
        <v>47</v>
      </c>
      <c r="H57" s="42" t="s">
        <v>83</v>
      </c>
      <c r="I57" s="37" t="s">
        <v>149</v>
      </c>
      <c r="J57" s="37" t="s">
        <v>503</v>
      </c>
      <c r="K57" s="37" t="s">
        <v>504</v>
      </c>
      <c r="L57" s="37" t="s">
        <v>505</v>
      </c>
      <c r="M57" s="37" t="s">
        <v>462</v>
      </c>
    </row>
    <row r="58" customFormat="false" ht="23.25" hidden="false" customHeight="true" outlineLevel="0" collapsed="false">
      <c r="A58" s="37" t="s">
        <v>506</v>
      </c>
      <c r="B58" s="37" t="s">
        <v>507</v>
      </c>
      <c r="C58" s="37" t="s">
        <v>410</v>
      </c>
      <c r="D58" s="37" t="s">
        <v>242</v>
      </c>
      <c r="E58" s="38" t="s">
        <v>86</v>
      </c>
      <c r="F58" s="37" t="s">
        <v>63</v>
      </c>
      <c r="G58" s="37" t="s">
        <v>47</v>
      </c>
      <c r="H58" s="42" t="s">
        <v>83</v>
      </c>
      <c r="I58" s="37" t="s">
        <v>149</v>
      </c>
      <c r="J58" s="37" t="s">
        <v>508</v>
      </c>
      <c r="K58" s="37" t="s">
        <v>509</v>
      </c>
      <c r="L58" s="37" t="s">
        <v>246</v>
      </c>
      <c r="M58" s="37" t="s">
        <v>510</v>
      </c>
    </row>
    <row r="59" customFormat="false" ht="23.25" hidden="false" customHeight="true" outlineLevel="0" collapsed="false">
      <c r="A59" s="37" t="s">
        <v>511</v>
      </c>
      <c r="B59" s="37" t="s">
        <v>512</v>
      </c>
      <c r="C59" s="37" t="s">
        <v>410</v>
      </c>
      <c r="D59" s="37" t="s">
        <v>242</v>
      </c>
      <c r="E59" s="38" t="s">
        <v>86</v>
      </c>
      <c r="F59" s="37" t="s">
        <v>63</v>
      </c>
      <c r="G59" s="37" t="s">
        <v>47</v>
      </c>
      <c r="H59" s="42" t="s">
        <v>83</v>
      </c>
      <c r="I59" s="37" t="s">
        <v>149</v>
      </c>
      <c r="J59" s="37" t="s">
        <v>513</v>
      </c>
      <c r="K59" s="37" t="s">
        <v>514</v>
      </c>
      <c r="L59" s="37" t="s">
        <v>246</v>
      </c>
      <c r="M59" s="37" t="s">
        <v>462</v>
      </c>
    </row>
    <row r="60" customFormat="false" ht="23.25" hidden="false" customHeight="true" outlineLevel="0" collapsed="false">
      <c r="A60" s="37" t="s">
        <v>515</v>
      </c>
      <c r="B60" s="37" t="s">
        <v>516</v>
      </c>
      <c r="C60" s="37" t="s">
        <v>410</v>
      </c>
      <c r="D60" s="37" t="s">
        <v>156</v>
      </c>
      <c r="E60" s="38" t="s">
        <v>86</v>
      </c>
      <c r="F60" s="37" t="s">
        <v>63</v>
      </c>
      <c r="G60" s="37" t="s">
        <v>47</v>
      </c>
      <c r="H60" s="42" t="s">
        <v>83</v>
      </c>
      <c r="I60" s="37" t="s">
        <v>149</v>
      </c>
      <c r="J60" s="37" t="s">
        <v>517</v>
      </c>
      <c r="K60" s="37" t="s">
        <v>518</v>
      </c>
      <c r="L60" s="37" t="s">
        <v>519</v>
      </c>
      <c r="M60" s="37" t="s">
        <v>462</v>
      </c>
    </row>
    <row r="61" customFormat="false" ht="23.25" hidden="false" customHeight="true" outlineLevel="0" collapsed="false">
      <c r="A61" s="37" t="s">
        <v>520</v>
      </c>
      <c r="B61" s="37" t="s">
        <v>521</v>
      </c>
      <c r="C61" s="37" t="s">
        <v>410</v>
      </c>
      <c r="D61" s="37" t="s">
        <v>156</v>
      </c>
      <c r="E61" s="41" t="s">
        <v>88</v>
      </c>
      <c r="F61" s="37" t="s">
        <v>63</v>
      </c>
      <c r="G61" s="37" t="s">
        <v>47</v>
      </c>
      <c r="H61" s="42" t="s">
        <v>83</v>
      </c>
      <c r="I61" s="37" t="s">
        <v>149</v>
      </c>
      <c r="J61" s="37" t="s">
        <v>522</v>
      </c>
      <c r="K61" s="37" t="s">
        <v>523</v>
      </c>
      <c r="L61" s="37" t="s">
        <v>246</v>
      </c>
      <c r="M61" s="37" t="s">
        <v>462</v>
      </c>
    </row>
    <row r="62" customFormat="false" ht="23.25" hidden="false" customHeight="true" outlineLevel="0" collapsed="false">
      <c r="A62" s="37" t="s">
        <v>524</v>
      </c>
      <c r="B62" s="37" t="s">
        <v>525</v>
      </c>
      <c r="C62" s="37" t="s">
        <v>410</v>
      </c>
      <c r="D62" s="37" t="s">
        <v>156</v>
      </c>
      <c r="E62" s="38" t="s">
        <v>86</v>
      </c>
      <c r="F62" s="37" t="s">
        <v>63</v>
      </c>
      <c r="G62" s="37" t="s">
        <v>47</v>
      </c>
      <c r="H62" s="42" t="s">
        <v>83</v>
      </c>
      <c r="I62" s="37" t="s">
        <v>149</v>
      </c>
      <c r="J62" s="37" t="s">
        <v>526</v>
      </c>
      <c r="K62" s="37" t="s">
        <v>527</v>
      </c>
      <c r="L62" s="37" t="s">
        <v>246</v>
      </c>
      <c r="M62" s="37" t="s">
        <v>462</v>
      </c>
    </row>
    <row r="63" customFormat="false" ht="191.25" hidden="false" customHeight="true" outlineLevel="0" collapsed="false">
      <c r="A63" s="37" t="s">
        <v>528</v>
      </c>
      <c r="B63" s="37" t="s">
        <v>529</v>
      </c>
      <c r="C63" s="37" t="s">
        <v>350</v>
      </c>
      <c r="D63" s="37" t="s">
        <v>242</v>
      </c>
      <c r="E63" s="38" t="s">
        <v>86</v>
      </c>
      <c r="F63" s="37" t="s">
        <v>210</v>
      </c>
      <c r="G63" s="37" t="s">
        <v>530</v>
      </c>
      <c r="H63" s="40" t="s">
        <v>85</v>
      </c>
      <c r="I63" s="37" t="s">
        <v>149</v>
      </c>
      <c r="J63" s="37" t="s">
        <v>531</v>
      </c>
      <c r="K63" s="37" t="s">
        <v>532</v>
      </c>
      <c r="L63" s="37" t="s">
        <v>533</v>
      </c>
      <c r="M63" s="37" t="s">
        <v>534</v>
      </c>
    </row>
    <row r="64" customFormat="false" ht="157.5" hidden="false" customHeight="true" outlineLevel="0" collapsed="false">
      <c r="A64" s="37" t="s">
        <v>166</v>
      </c>
      <c r="B64" s="37" t="s">
        <v>535</v>
      </c>
      <c r="C64" s="37" t="s">
        <v>476</v>
      </c>
      <c r="D64" s="37" t="s">
        <v>168</v>
      </c>
      <c r="E64" s="38" t="s">
        <v>86</v>
      </c>
      <c r="F64" s="37" t="s">
        <v>251</v>
      </c>
      <c r="G64" s="37" t="s">
        <v>169</v>
      </c>
      <c r="H64" s="40" t="s">
        <v>83</v>
      </c>
      <c r="I64" s="37" t="s">
        <v>149</v>
      </c>
      <c r="J64" s="37" t="s">
        <v>536</v>
      </c>
      <c r="K64" s="37" t="s">
        <v>537</v>
      </c>
      <c r="L64" s="37" t="s">
        <v>538</v>
      </c>
      <c r="M64" s="37" t="s">
        <v>539</v>
      </c>
    </row>
    <row r="65" customFormat="false" ht="135.75" hidden="false" customHeight="true" outlineLevel="0" collapsed="false">
      <c r="A65" s="37" t="s">
        <v>540</v>
      </c>
      <c r="B65" s="37" t="s">
        <v>541</v>
      </c>
      <c r="C65" s="37" t="s">
        <v>374</v>
      </c>
      <c r="D65" s="37" t="s">
        <v>156</v>
      </c>
      <c r="E65" s="38" t="s">
        <v>86</v>
      </c>
      <c r="F65" s="37" t="s">
        <v>210</v>
      </c>
      <c r="G65" s="37" t="s">
        <v>542</v>
      </c>
      <c r="H65" s="40" t="s">
        <v>83</v>
      </c>
      <c r="I65" s="37" t="s">
        <v>149</v>
      </c>
      <c r="J65" s="37" t="s">
        <v>543</v>
      </c>
      <c r="K65" s="37" t="s">
        <v>544</v>
      </c>
      <c r="L65" s="37" t="s">
        <v>246</v>
      </c>
      <c r="M65" s="37" t="s">
        <v>545</v>
      </c>
    </row>
    <row r="66" customFormat="false" ht="157.5" hidden="false" customHeight="true" outlineLevel="0" collapsed="false">
      <c r="A66" s="37" t="s">
        <v>546</v>
      </c>
      <c r="B66" s="37" t="s">
        <v>547</v>
      </c>
      <c r="C66" s="37" t="s">
        <v>374</v>
      </c>
      <c r="D66" s="37" t="s">
        <v>168</v>
      </c>
      <c r="E66" s="38" t="s">
        <v>86</v>
      </c>
      <c r="F66" s="37" t="s">
        <v>210</v>
      </c>
      <c r="G66" s="37" t="s">
        <v>548</v>
      </c>
      <c r="H66" s="40" t="s">
        <v>83</v>
      </c>
      <c r="I66" s="37" t="s">
        <v>149</v>
      </c>
      <c r="J66" s="37" t="s">
        <v>549</v>
      </c>
      <c r="K66" s="37" t="s">
        <v>550</v>
      </c>
      <c r="L66" s="37" t="s">
        <v>246</v>
      </c>
      <c r="M66" s="37" t="s">
        <v>551</v>
      </c>
    </row>
    <row r="67" customFormat="false" ht="124.5" hidden="false" customHeight="true" outlineLevel="0" collapsed="false">
      <c r="A67" s="37" t="s">
        <v>173</v>
      </c>
      <c r="B67" s="37" t="s">
        <v>552</v>
      </c>
      <c r="C67" s="37" t="s">
        <v>250</v>
      </c>
      <c r="D67" s="37" t="s">
        <v>156</v>
      </c>
      <c r="E67" s="38" t="s">
        <v>86</v>
      </c>
      <c r="F67" s="37" t="s">
        <v>243</v>
      </c>
      <c r="G67" s="37" t="s">
        <v>175</v>
      </c>
      <c r="H67" s="40" t="s">
        <v>83</v>
      </c>
      <c r="I67" s="37" t="s">
        <v>149</v>
      </c>
      <c r="J67" s="37" t="s">
        <v>553</v>
      </c>
      <c r="K67" s="37" t="s">
        <v>554</v>
      </c>
      <c r="L67" s="37" t="s">
        <v>555</v>
      </c>
      <c r="M67" s="37" t="s">
        <v>556</v>
      </c>
    </row>
    <row r="68" customFormat="false" ht="157.5" hidden="false" customHeight="true" outlineLevel="0" collapsed="false">
      <c r="A68" s="37" t="s">
        <v>65</v>
      </c>
      <c r="B68" s="37" t="s">
        <v>557</v>
      </c>
      <c r="C68" s="37" t="s">
        <v>374</v>
      </c>
      <c r="D68" s="37" t="s">
        <v>168</v>
      </c>
      <c r="E68" s="38" t="s">
        <v>86</v>
      </c>
      <c r="F68" s="37" t="s">
        <v>210</v>
      </c>
      <c r="G68" s="37" t="s">
        <v>66</v>
      </c>
      <c r="H68" s="40" t="s">
        <v>83</v>
      </c>
      <c r="I68" s="37" t="s">
        <v>149</v>
      </c>
      <c r="J68" s="37" t="s">
        <v>558</v>
      </c>
      <c r="K68" s="37" t="s">
        <v>559</v>
      </c>
      <c r="L68" s="37" t="s">
        <v>560</v>
      </c>
      <c r="M68" s="37" t="s">
        <v>561</v>
      </c>
    </row>
    <row r="69" customFormat="false" ht="135.75" hidden="false" customHeight="true" outlineLevel="0" collapsed="false">
      <c r="A69" s="37" t="s">
        <v>562</v>
      </c>
      <c r="B69" s="37" t="s">
        <v>563</v>
      </c>
      <c r="C69" s="37" t="s">
        <v>374</v>
      </c>
      <c r="D69" s="37" t="s">
        <v>168</v>
      </c>
      <c r="E69" s="38" t="s">
        <v>86</v>
      </c>
      <c r="F69" s="37" t="s">
        <v>243</v>
      </c>
      <c r="G69" s="37" t="s">
        <v>564</v>
      </c>
      <c r="H69" s="40" t="s">
        <v>83</v>
      </c>
      <c r="I69" s="37" t="s">
        <v>149</v>
      </c>
      <c r="J69" s="37" t="s">
        <v>565</v>
      </c>
      <c r="K69" s="37" t="s">
        <v>566</v>
      </c>
      <c r="L69" s="37" t="s">
        <v>567</v>
      </c>
      <c r="M69" s="37" t="s">
        <v>568</v>
      </c>
    </row>
    <row r="70" customFormat="false" ht="147" hidden="false" customHeight="true" outlineLevel="0" collapsed="false">
      <c r="A70" s="37" t="s">
        <v>569</v>
      </c>
      <c r="B70" s="37" t="s">
        <v>570</v>
      </c>
      <c r="C70" s="37" t="s">
        <v>374</v>
      </c>
      <c r="D70" s="37" t="s">
        <v>168</v>
      </c>
      <c r="E70" s="38" t="s">
        <v>86</v>
      </c>
      <c r="F70" s="37" t="s">
        <v>251</v>
      </c>
      <c r="G70" s="37" t="s">
        <v>564</v>
      </c>
      <c r="H70" s="40" t="s">
        <v>85</v>
      </c>
      <c r="I70" s="37" t="s">
        <v>149</v>
      </c>
      <c r="J70" s="37" t="s">
        <v>571</v>
      </c>
      <c r="K70" s="37" t="s">
        <v>572</v>
      </c>
      <c r="L70" s="37" t="s">
        <v>573</v>
      </c>
      <c r="M70" s="37" t="s">
        <v>574</v>
      </c>
    </row>
    <row r="71" customFormat="false" ht="168.75" hidden="false" customHeight="true" outlineLevel="0" collapsed="false">
      <c r="A71" s="37" t="s">
        <v>575</v>
      </c>
      <c r="B71" s="37" t="s">
        <v>576</v>
      </c>
      <c r="C71" s="37" t="s">
        <v>577</v>
      </c>
      <c r="D71" s="37" t="s">
        <v>168</v>
      </c>
      <c r="E71" s="38" t="s">
        <v>86</v>
      </c>
      <c r="F71" s="37" t="s">
        <v>210</v>
      </c>
      <c r="G71" s="37" t="s">
        <v>578</v>
      </c>
      <c r="H71" s="40" t="s">
        <v>85</v>
      </c>
      <c r="I71" s="37" t="s">
        <v>149</v>
      </c>
      <c r="J71" s="37" t="s">
        <v>579</v>
      </c>
      <c r="K71" s="37" t="s">
        <v>580</v>
      </c>
      <c r="L71" s="37" t="s">
        <v>581</v>
      </c>
      <c r="M71" s="37" t="s">
        <v>582</v>
      </c>
    </row>
    <row r="72" customFormat="false" ht="180" hidden="false" customHeight="true" outlineLevel="0" collapsed="false">
      <c r="A72" s="37" t="s">
        <v>583</v>
      </c>
      <c r="B72" s="37" t="s">
        <v>584</v>
      </c>
      <c r="C72" s="37" t="s">
        <v>577</v>
      </c>
      <c r="D72" s="37" t="s">
        <v>156</v>
      </c>
      <c r="E72" s="38" t="s">
        <v>86</v>
      </c>
      <c r="F72" s="37" t="s">
        <v>190</v>
      </c>
      <c r="G72" s="37" t="s">
        <v>101</v>
      </c>
      <c r="H72" s="40" t="s">
        <v>85</v>
      </c>
      <c r="I72" s="37" t="s">
        <v>149</v>
      </c>
      <c r="J72" s="37" t="s">
        <v>585</v>
      </c>
      <c r="K72" s="37" t="s">
        <v>586</v>
      </c>
      <c r="L72" s="37" t="s">
        <v>587</v>
      </c>
      <c r="M72" s="37" t="s">
        <v>588</v>
      </c>
    </row>
    <row r="73" customFormat="false" ht="168.75" hidden="false" customHeight="true" outlineLevel="0" collapsed="false">
      <c r="A73" s="37" t="s">
        <v>589</v>
      </c>
      <c r="B73" s="37" t="s">
        <v>590</v>
      </c>
      <c r="C73" s="37" t="s">
        <v>577</v>
      </c>
      <c r="D73" s="37" t="s">
        <v>156</v>
      </c>
      <c r="E73" s="38" t="s">
        <v>86</v>
      </c>
      <c r="F73" s="37" t="s">
        <v>210</v>
      </c>
      <c r="G73" s="37" t="s">
        <v>591</v>
      </c>
      <c r="H73" s="40" t="s">
        <v>85</v>
      </c>
      <c r="I73" s="37" t="s">
        <v>149</v>
      </c>
      <c r="J73" s="37" t="s">
        <v>592</v>
      </c>
      <c r="K73" s="37" t="s">
        <v>593</v>
      </c>
      <c r="L73" s="37" t="s">
        <v>594</v>
      </c>
      <c r="M73" s="37" t="s">
        <v>595</v>
      </c>
    </row>
    <row r="74" customFormat="false" ht="157.5" hidden="false" customHeight="true" outlineLevel="0" collapsed="false">
      <c r="A74" s="37" t="s">
        <v>596</v>
      </c>
      <c r="B74" s="37" t="s">
        <v>597</v>
      </c>
      <c r="C74" s="37" t="s">
        <v>577</v>
      </c>
      <c r="D74" s="37" t="s">
        <v>242</v>
      </c>
      <c r="E74" s="38" t="s">
        <v>86</v>
      </c>
      <c r="F74" s="37" t="s">
        <v>210</v>
      </c>
      <c r="G74" s="37" t="s">
        <v>101</v>
      </c>
      <c r="H74" s="40" t="s">
        <v>85</v>
      </c>
      <c r="I74" s="37" t="s">
        <v>149</v>
      </c>
      <c r="J74" s="37" t="s">
        <v>598</v>
      </c>
      <c r="K74" s="37" t="s">
        <v>599</v>
      </c>
      <c r="L74" s="37" t="s">
        <v>600</v>
      </c>
      <c r="M74" s="37" t="s">
        <v>601</v>
      </c>
    </row>
    <row r="75" customFormat="false" ht="157.5" hidden="false" customHeight="true" outlineLevel="0" collapsed="false">
      <c r="A75" s="37" t="s">
        <v>602</v>
      </c>
      <c r="B75" s="37" t="s">
        <v>603</v>
      </c>
      <c r="C75" s="37" t="s">
        <v>577</v>
      </c>
      <c r="D75" s="37" t="s">
        <v>168</v>
      </c>
      <c r="E75" s="38" t="s">
        <v>86</v>
      </c>
      <c r="F75" s="37" t="s">
        <v>210</v>
      </c>
      <c r="G75" s="37" t="s">
        <v>578</v>
      </c>
      <c r="H75" s="40" t="s">
        <v>85</v>
      </c>
      <c r="I75" s="37" t="s">
        <v>149</v>
      </c>
      <c r="J75" s="37" t="s">
        <v>604</v>
      </c>
      <c r="K75" s="37" t="s">
        <v>605</v>
      </c>
      <c r="L75" s="37" t="s">
        <v>606</v>
      </c>
      <c r="M75" s="37" t="s">
        <v>607</v>
      </c>
    </row>
    <row r="76" customFormat="false" ht="23.25" hidden="false" customHeight="true" outlineLevel="0" collapsed="false">
      <c r="A76" s="37" t="s">
        <v>608</v>
      </c>
      <c r="B76" s="37" t="s">
        <v>609</v>
      </c>
      <c r="C76" s="37" t="s">
        <v>410</v>
      </c>
      <c r="D76" s="37" t="s">
        <v>242</v>
      </c>
      <c r="E76" s="38" t="s">
        <v>86</v>
      </c>
      <c r="F76" s="37" t="s">
        <v>63</v>
      </c>
      <c r="G76" s="37" t="s">
        <v>47</v>
      </c>
      <c r="H76" s="42" t="s">
        <v>83</v>
      </c>
      <c r="I76" s="37" t="s">
        <v>149</v>
      </c>
      <c r="J76" s="37" t="s">
        <v>610</v>
      </c>
      <c r="K76" s="37" t="s">
        <v>611</v>
      </c>
      <c r="L76" s="37" t="s">
        <v>246</v>
      </c>
      <c r="M76" s="37" t="s">
        <v>612</v>
      </c>
    </row>
    <row r="77" customFormat="false" ht="23.25" hidden="false" customHeight="true" outlineLevel="0" collapsed="false">
      <c r="A77" s="37" t="s">
        <v>613</v>
      </c>
      <c r="B77" s="37" t="s">
        <v>614</v>
      </c>
      <c r="C77" s="37" t="s">
        <v>250</v>
      </c>
      <c r="D77" s="37" t="s">
        <v>242</v>
      </c>
      <c r="E77" s="38" t="s">
        <v>86</v>
      </c>
      <c r="F77" s="37" t="s">
        <v>63</v>
      </c>
      <c r="G77" s="37" t="s">
        <v>97</v>
      </c>
      <c r="H77" s="42" t="s">
        <v>83</v>
      </c>
      <c r="I77" s="37" t="s">
        <v>149</v>
      </c>
      <c r="J77" s="37" t="s">
        <v>615</v>
      </c>
      <c r="K77" s="37" t="s">
        <v>616</v>
      </c>
      <c r="L77" s="37" t="s">
        <v>413</v>
      </c>
      <c r="M77" s="37" t="s">
        <v>340</v>
      </c>
    </row>
    <row r="78" customFormat="false" ht="23.25" hidden="false" customHeight="true" outlineLevel="0" collapsed="false">
      <c r="A78" s="37" t="s">
        <v>617</v>
      </c>
      <c r="B78" s="37" t="s">
        <v>618</v>
      </c>
      <c r="C78" s="37" t="s">
        <v>250</v>
      </c>
      <c r="D78" s="37" t="s">
        <v>168</v>
      </c>
      <c r="E78" s="38" t="s">
        <v>86</v>
      </c>
      <c r="F78" s="37" t="s">
        <v>48</v>
      </c>
      <c r="G78" s="37" t="s">
        <v>619</v>
      </c>
      <c r="H78" s="42" t="s">
        <v>83</v>
      </c>
      <c r="I78" s="37" t="s">
        <v>149</v>
      </c>
      <c r="J78" s="37" t="s">
        <v>620</v>
      </c>
      <c r="K78" s="37" t="s">
        <v>621</v>
      </c>
      <c r="L78" s="37" t="s">
        <v>414</v>
      </c>
      <c r="M78" s="37" t="s">
        <v>340</v>
      </c>
    </row>
    <row r="79" customFormat="false" ht="15" hidden="false" customHeight="true" outlineLevel="0" collapsed="false">
      <c r="A79" s="37" t="s">
        <v>622</v>
      </c>
      <c r="B79" s="37" t="s">
        <v>623</v>
      </c>
      <c r="C79" s="37" t="s">
        <v>410</v>
      </c>
      <c r="D79" s="37" t="s">
        <v>168</v>
      </c>
      <c r="E79" s="38" t="s">
        <v>86</v>
      </c>
      <c r="F79" s="37" t="s">
        <v>63</v>
      </c>
      <c r="G79" s="37" t="s">
        <v>97</v>
      </c>
      <c r="H79" s="42" t="s">
        <v>83</v>
      </c>
      <c r="I79" s="37" t="s">
        <v>149</v>
      </c>
      <c r="J79" s="37" t="s">
        <v>624</v>
      </c>
      <c r="K79" s="37" t="s">
        <v>625</v>
      </c>
      <c r="L79" s="37" t="s">
        <v>626</v>
      </c>
      <c r="M79" s="37" t="s">
        <v>340</v>
      </c>
    </row>
    <row r="80" customFormat="false" ht="157.5" hidden="false" customHeight="true" outlineLevel="0" collapsed="false">
      <c r="A80" s="37" t="s">
        <v>627</v>
      </c>
      <c r="B80" s="37" t="s">
        <v>628</v>
      </c>
      <c r="C80" s="37" t="s">
        <v>629</v>
      </c>
      <c r="D80" s="37" t="s">
        <v>168</v>
      </c>
      <c r="E80" s="38" t="s">
        <v>86</v>
      </c>
      <c r="F80" s="37" t="s">
        <v>210</v>
      </c>
      <c r="G80" s="37" t="s">
        <v>630</v>
      </c>
      <c r="H80" s="40" t="s">
        <v>85</v>
      </c>
      <c r="I80" s="37" t="s">
        <v>149</v>
      </c>
      <c r="J80" s="37" t="s">
        <v>631</v>
      </c>
      <c r="K80" s="37" t="s">
        <v>632</v>
      </c>
      <c r="L80" s="37" t="s">
        <v>633</v>
      </c>
      <c r="M80" s="37" t="s">
        <v>634</v>
      </c>
    </row>
    <row r="81" customFormat="false" ht="191.25" hidden="false" customHeight="true" outlineLevel="0" collapsed="false">
      <c r="A81" s="37" t="s">
        <v>635</v>
      </c>
      <c r="B81" s="37" t="s">
        <v>636</v>
      </c>
      <c r="C81" s="37" t="s">
        <v>629</v>
      </c>
      <c r="D81" s="37" t="s">
        <v>168</v>
      </c>
      <c r="E81" s="38" t="s">
        <v>86</v>
      </c>
      <c r="F81" s="37" t="s">
        <v>243</v>
      </c>
      <c r="G81" s="37" t="s">
        <v>637</v>
      </c>
      <c r="H81" s="40" t="s">
        <v>85</v>
      </c>
      <c r="I81" s="37" t="s">
        <v>149</v>
      </c>
      <c r="J81" s="37" t="s">
        <v>638</v>
      </c>
      <c r="K81" s="37" t="s">
        <v>639</v>
      </c>
      <c r="L81" s="37" t="s">
        <v>246</v>
      </c>
      <c r="M81" s="37" t="s">
        <v>640</v>
      </c>
    </row>
    <row r="82" customFormat="false" ht="124.5" hidden="false" customHeight="true" outlineLevel="0" collapsed="false">
      <c r="A82" s="37" t="s">
        <v>641</v>
      </c>
      <c r="B82" s="37" t="s">
        <v>642</v>
      </c>
      <c r="C82" s="37" t="s">
        <v>629</v>
      </c>
      <c r="D82" s="37" t="s">
        <v>168</v>
      </c>
      <c r="E82" s="41" t="s">
        <v>88</v>
      </c>
      <c r="F82" s="37" t="s">
        <v>251</v>
      </c>
      <c r="G82" s="37" t="s">
        <v>102</v>
      </c>
      <c r="H82" s="40" t="s">
        <v>85</v>
      </c>
      <c r="I82" s="37" t="s">
        <v>149</v>
      </c>
      <c r="J82" s="37" t="s">
        <v>643</v>
      </c>
      <c r="K82" s="37" t="s">
        <v>644</v>
      </c>
      <c r="L82" s="37" t="s">
        <v>645</v>
      </c>
      <c r="M82" s="37" t="s">
        <v>646</v>
      </c>
    </row>
    <row r="83" customFormat="false" ht="135.75" hidden="false" customHeight="true" outlineLevel="0" collapsed="false">
      <c r="A83" s="37" t="s">
        <v>647</v>
      </c>
      <c r="B83" s="37" t="s">
        <v>648</v>
      </c>
      <c r="C83" s="37" t="s">
        <v>629</v>
      </c>
      <c r="D83" s="37" t="s">
        <v>148</v>
      </c>
      <c r="E83" s="38" t="s">
        <v>86</v>
      </c>
      <c r="F83" s="37" t="s">
        <v>210</v>
      </c>
      <c r="G83" s="37" t="s">
        <v>649</v>
      </c>
      <c r="H83" s="40" t="s">
        <v>85</v>
      </c>
      <c r="I83" s="37" t="s">
        <v>149</v>
      </c>
      <c r="J83" s="37" t="s">
        <v>650</v>
      </c>
      <c r="K83" s="37" t="s">
        <v>651</v>
      </c>
      <c r="L83" s="37" t="s">
        <v>652</v>
      </c>
      <c r="M83" s="37" t="s">
        <v>653</v>
      </c>
    </row>
    <row r="84" customFormat="false" ht="23.25" hidden="false" customHeight="true" outlineLevel="0" collapsed="false">
      <c r="A84" s="37" t="s">
        <v>654</v>
      </c>
      <c r="B84" s="37" t="s">
        <v>655</v>
      </c>
      <c r="C84" s="37" t="s">
        <v>419</v>
      </c>
      <c r="D84" s="37" t="s">
        <v>168</v>
      </c>
      <c r="E84" s="38" t="s">
        <v>86</v>
      </c>
      <c r="F84" s="37" t="s">
        <v>57</v>
      </c>
      <c r="G84" s="37" t="s">
        <v>656</v>
      </c>
      <c r="H84" s="42" t="s">
        <v>83</v>
      </c>
      <c r="I84" s="37" t="s">
        <v>149</v>
      </c>
      <c r="J84" s="37" t="s">
        <v>657</v>
      </c>
      <c r="K84" s="37" t="s">
        <v>658</v>
      </c>
      <c r="L84" s="37" t="s">
        <v>413</v>
      </c>
      <c r="M84" s="37" t="s">
        <v>340</v>
      </c>
    </row>
    <row r="85" customFormat="false" ht="23.25" hidden="false" customHeight="true" outlineLevel="0" collapsed="false">
      <c r="A85" s="37" t="s">
        <v>659</v>
      </c>
      <c r="B85" s="37" t="s">
        <v>660</v>
      </c>
      <c r="C85" s="37" t="s">
        <v>419</v>
      </c>
      <c r="D85" s="37" t="s">
        <v>148</v>
      </c>
      <c r="E85" s="38" t="s">
        <v>86</v>
      </c>
      <c r="F85" s="37" t="s">
        <v>48</v>
      </c>
      <c r="G85" s="37" t="s">
        <v>100</v>
      </c>
      <c r="H85" s="42" t="s">
        <v>83</v>
      </c>
      <c r="I85" s="37" t="s">
        <v>149</v>
      </c>
      <c r="J85" s="37" t="s">
        <v>661</v>
      </c>
      <c r="K85" s="37" t="s">
        <v>662</v>
      </c>
      <c r="L85" s="37" t="s">
        <v>654</v>
      </c>
      <c r="M85" s="37" t="s">
        <v>340</v>
      </c>
    </row>
    <row r="86" customFormat="false" ht="15" hidden="false" customHeight="true" outlineLevel="0" collapsed="false">
      <c r="A86" s="37" t="s">
        <v>663</v>
      </c>
      <c r="B86" s="37" t="s">
        <v>664</v>
      </c>
      <c r="C86" s="37" t="s">
        <v>350</v>
      </c>
      <c r="D86" s="37" t="s">
        <v>148</v>
      </c>
      <c r="E86" s="38" t="s">
        <v>86</v>
      </c>
      <c r="F86" s="37" t="s">
        <v>48</v>
      </c>
      <c r="G86" s="37" t="s">
        <v>100</v>
      </c>
      <c r="H86" s="42" t="s">
        <v>83</v>
      </c>
      <c r="I86" s="37" t="s">
        <v>149</v>
      </c>
      <c r="J86" s="37" t="s">
        <v>665</v>
      </c>
      <c r="K86" s="37" t="s">
        <v>666</v>
      </c>
      <c r="L86" s="37" t="s">
        <v>659</v>
      </c>
      <c r="M86" s="37" t="s">
        <v>340</v>
      </c>
    </row>
    <row r="87" customFormat="false" ht="34.5" hidden="false" customHeight="true" outlineLevel="0" collapsed="false">
      <c r="A87" s="37" t="s">
        <v>667</v>
      </c>
      <c r="B87" s="37" t="s">
        <v>668</v>
      </c>
      <c r="C87" s="37" t="s">
        <v>350</v>
      </c>
      <c r="D87" s="37" t="s">
        <v>242</v>
      </c>
      <c r="E87" s="38" t="s">
        <v>86</v>
      </c>
      <c r="F87" s="37" t="s">
        <v>63</v>
      </c>
      <c r="G87" s="37" t="s">
        <v>669</v>
      </c>
      <c r="H87" s="42" t="s">
        <v>83</v>
      </c>
      <c r="I87" s="37" t="s">
        <v>149</v>
      </c>
      <c r="J87" s="37" t="s">
        <v>670</v>
      </c>
      <c r="K87" s="37" t="s">
        <v>671</v>
      </c>
      <c r="L87" s="37" t="s">
        <v>331</v>
      </c>
      <c r="M87" s="37" t="s">
        <v>672</v>
      </c>
    </row>
    <row r="88" customFormat="false" ht="135.75" hidden="false" customHeight="true" outlineLevel="0" collapsed="false">
      <c r="A88" s="37" t="s">
        <v>673</v>
      </c>
      <c r="B88" s="37" t="s">
        <v>674</v>
      </c>
      <c r="C88" s="37" t="s">
        <v>350</v>
      </c>
      <c r="D88" s="37" t="s">
        <v>242</v>
      </c>
      <c r="E88" s="38" t="s">
        <v>86</v>
      </c>
      <c r="F88" s="37" t="s">
        <v>210</v>
      </c>
      <c r="G88" s="37" t="s">
        <v>669</v>
      </c>
      <c r="H88" s="40" t="s">
        <v>83</v>
      </c>
      <c r="I88" s="37" t="s">
        <v>149</v>
      </c>
      <c r="J88" s="37" t="s">
        <v>675</v>
      </c>
      <c r="K88" s="37" t="s">
        <v>676</v>
      </c>
      <c r="L88" s="37" t="s">
        <v>677</v>
      </c>
      <c r="M88" s="37" t="s">
        <v>678</v>
      </c>
    </row>
    <row r="89" customFormat="false" ht="113.25" hidden="false" customHeight="true" outlineLevel="0" collapsed="false">
      <c r="A89" s="37" t="s">
        <v>679</v>
      </c>
      <c r="B89" s="37" t="s">
        <v>680</v>
      </c>
      <c r="C89" s="37" t="s">
        <v>350</v>
      </c>
      <c r="D89" s="37" t="s">
        <v>242</v>
      </c>
      <c r="E89" s="38" t="s">
        <v>86</v>
      </c>
      <c r="F89" s="37" t="s">
        <v>251</v>
      </c>
      <c r="G89" s="37" t="s">
        <v>669</v>
      </c>
      <c r="H89" s="40" t="s">
        <v>83</v>
      </c>
      <c r="I89" s="37" t="s">
        <v>149</v>
      </c>
      <c r="J89" s="37" t="s">
        <v>681</v>
      </c>
      <c r="K89" s="37" t="s">
        <v>682</v>
      </c>
      <c r="L89" s="37" t="s">
        <v>683</v>
      </c>
      <c r="M89" s="37" t="s">
        <v>684</v>
      </c>
    </row>
    <row r="90" customFormat="false" ht="157.5" hidden="false" customHeight="true" outlineLevel="0" collapsed="false">
      <c r="A90" s="37" t="s">
        <v>685</v>
      </c>
      <c r="B90" s="37" t="s">
        <v>686</v>
      </c>
      <c r="C90" s="37" t="s">
        <v>350</v>
      </c>
      <c r="D90" s="37" t="s">
        <v>242</v>
      </c>
      <c r="E90" s="38" t="s">
        <v>86</v>
      </c>
      <c r="F90" s="37" t="s">
        <v>210</v>
      </c>
      <c r="G90" s="37" t="s">
        <v>656</v>
      </c>
      <c r="H90" s="40" t="s">
        <v>85</v>
      </c>
      <c r="I90" s="37" t="s">
        <v>149</v>
      </c>
      <c r="J90" s="37" t="s">
        <v>687</v>
      </c>
      <c r="K90" s="37" t="s">
        <v>688</v>
      </c>
      <c r="L90" s="37" t="s">
        <v>689</v>
      </c>
      <c r="M90" s="37" t="s">
        <v>690</v>
      </c>
    </row>
    <row r="91" customFormat="false" ht="135.75" hidden="false" customHeight="true" outlineLevel="0" collapsed="false">
      <c r="A91" s="37" t="s">
        <v>691</v>
      </c>
      <c r="B91" s="37" t="s">
        <v>692</v>
      </c>
      <c r="C91" s="37" t="s">
        <v>350</v>
      </c>
      <c r="D91" s="37" t="s">
        <v>156</v>
      </c>
      <c r="E91" s="41" t="s">
        <v>88</v>
      </c>
      <c r="F91" s="37" t="s">
        <v>251</v>
      </c>
      <c r="G91" s="37" t="s">
        <v>100</v>
      </c>
      <c r="H91" s="40" t="s">
        <v>85</v>
      </c>
      <c r="I91" s="37" t="s">
        <v>149</v>
      </c>
      <c r="J91" s="37" t="s">
        <v>693</v>
      </c>
      <c r="K91" s="37" t="s">
        <v>694</v>
      </c>
      <c r="L91" s="37" t="s">
        <v>695</v>
      </c>
      <c r="M91" s="37" t="s">
        <v>696</v>
      </c>
    </row>
    <row r="92" customFormat="false" ht="23.25" hidden="false" customHeight="true" outlineLevel="0" collapsed="false">
      <c r="A92" s="37" t="s">
        <v>697</v>
      </c>
      <c r="B92" s="37" t="s">
        <v>698</v>
      </c>
      <c r="C92" s="37" t="s">
        <v>419</v>
      </c>
      <c r="D92" s="37" t="s">
        <v>168</v>
      </c>
      <c r="E92" s="38" t="s">
        <v>86</v>
      </c>
      <c r="F92" s="37" t="s">
        <v>63</v>
      </c>
      <c r="G92" s="37" t="s">
        <v>699</v>
      </c>
      <c r="H92" s="42" t="s">
        <v>83</v>
      </c>
      <c r="I92" s="37" t="s">
        <v>149</v>
      </c>
      <c r="J92" s="37" t="s">
        <v>700</v>
      </c>
      <c r="K92" s="37" t="s">
        <v>701</v>
      </c>
      <c r="L92" s="37" t="s">
        <v>654</v>
      </c>
      <c r="M92" s="37" t="s">
        <v>462</v>
      </c>
    </row>
    <row r="93" customFormat="false" ht="113.25" hidden="false" customHeight="true" outlineLevel="0" collapsed="false">
      <c r="A93" s="37" t="s">
        <v>702</v>
      </c>
      <c r="B93" s="37" t="s">
        <v>703</v>
      </c>
      <c r="C93" s="37" t="s">
        <v>350</v>
      </c>
      <c r="D93" s="37" t="s">
        <v>168</v>
      </c>
      <c r="E93" s="38" t="s">
        <v>86</v>
      </c>
      <c r="F93" s="37" t="s">
        <v>251</v>
      </c>
      <c r="G93" s="37" t="s">
        <v>100</v>
      </c>
      <c r="H93" s="40" t="s">
        <v>85</v>
      </c>
      <c r="I93" s="37" t="s">
        <v>149</v>
      </c>
      <c r="J93" s="37" t="s">
        <v>704</v>
      </c>
      <c r="K93" s="37" t="s">
        <v>705</v>
      </c>
      <c r="L93" s="37" t="s">
        <v>706</v>
      </c>
      <c r="M93" s="37" t="s">
        <v>707</v>
      </c>
    </row>
    <row r="94" customFormat="false" ht="168.75" hidden="false" customHeight="true" outlineLevel="0" collapsed="false">
      <c r="A94" s="37" t="s">
        <v>708</v>
      </c>
      <c r="B94" s="37" t="s">
        <v>709</v>
      </c>
      <c r="C94" s="37" t="s">
        <v>350</v>
      </c>
      <c r="D94" s="37" t="s">
        <v>168</v>
      </c>
      <c r="E94" s="38" t="s">
        <v>86</v>
      </c>
      <c r="F94" s="37" t="s">
        <v>190</v>
      </c>
      <c r="G94" s="37" t="s">
        <v>710</v>
      </c>
      <c r="H94" s="40" t="s">
        <v>85</v>
      </c>
      <c r="I94" s="37" t="s">
        <v>149</v>
      </c>
      <c r="J94" s="37" t="s">
        <v>711</v>
      </c>
      <c r="K94" s="37" t="s">
        <v>712</v>
      </c>
      <c r="L94" s="37" t="s">
        <v>713</v>
      </c>
      <c r="M94" s="37" t="s">
        <v>714</v>
      </c>
    </row>
    <row r="95" customFormat="false" ht="157.5" hidden="false" customHeight="true" outlineLevel="0" collapsed="false">
      <c r="A95" s="37" t="s">
        <v>715</v>
      </c>
      <c r="B95" s="37" t="s">
        <v>716</v>
      </c>
      <c r="C95" s="37" t="s">
        <v>350</v>
      </c>
      <c r="D95" s="37" t="s">
        <v>168</v>
      </c>
      <c r="E95" s="38" t="s">
        <v>86</v>
      </c>
      <c r="F95" s="37" t="s">
        <v>251</v>
      </c>
      <c r="G95" s="37" t="s">
        <v>710</v>
      </c>
      <c r="H95" s="40" t="s">
        <v>85</v>
      </c>
      <c r="I95" s="37" t="s">
        <v>149</v>
      </c>
      <c r="J95" s="37" t="s">
        <v>717</v>
      </c>
      <c r="K95" s="37" t="s">
        <v>718</v>
      </c>
      <c r="L95" s="37" t="s">
        <v>719</v>
      </c>
      <c r="M95" s="37" t="s">
        <v>720</v>
      </c>
    </row>
    <row r="96" customFormat="false" ht="135.75" hidden="false" customHeight="true" outlineLevel="0" collapsed="false">
      <c r="A96" s="37" t="s">
        <v>721</v>
      </c>
      <c r="B96" s="37" t="s">
        <v>722</v>
      </c>
      <c r="C96" s="37" t="s">
        <v>723</v>
      </c>
      <c r="D96" s="37" t="s">
        <v>724</v>
      </c>
      <c r="E96" s="38" t="s">
        <v>86</v>
      </c>
      <c r="F96" s="37" t="s">
        <v>725</v>
      </c>
      <c r="G96" s="37" t="s">
        <v>726</v>
      </c>
      <c r="H96" s="43" t="s">
        <v>87</v>
      </c>
      <c r="I96" s="37" t="s">
        <v>727</v>
      </c>
      <c r="J96" s="37" t="s">
        <v>728</v>
      </c>
      <c r="K96" s="37" t="s">
        <v>729</v>
      </c>
      <c r="L96" s="37" t="s">
        <v>730</v>
      </c>
      <c r="M96" s="37" t="s">
        <v>731</v>
      </c>
    </row>
    <row r="97" customFormat="false" ht="147" hidden="false" customHeight="true" outlineLevel="0" collapsed="false">
      <c r="A97" s="37" t="s">
        <v>59</v>
      </c>
      <c r="B97" s="37" t="s">
        <v>732</v>
      </c>
      <c r="C97" s="37" t="s">
        <v>723</v>
      </c>
      <c r="D97" s="37" t="s">
        <v>724</v>
      </c>
      <c r="E97" s="38" t="s">
        <v>86</v>
      </c>
      <c r="F97" s="37" t="s">
        <v>725</v>
      </c>
      <c r="G97" s="37" t="s">
        <v>726</v>
      </c>
      <c r="H97" s="43" t="s">
        <v>87</v>
      </c>
      <c r="I97" s="37" t="s">
        <v>727</v>
      </c>
      <c r="J97" s="37" t="s">
        <v>733</v>
      </c>
      <c r="K97" s="37" t="s">
        <v>734</v>
      </c>
      <c r="L97" s="37" t="s">
        <v>730</v>
      </c>
      <c r="M97" s="37" t="s">
        <v>731</v>
      </c>
    </row>
    <row r="98" customFormat="false" ht="124.5" hidden="false" customHeight="true" outlineLevel="0" collapsed="false">
      <c r="A98" s="37" t="s">
        <v>735</v>
      </c>
      <c r="B98" s="37" t="s">
        <v>736</v>
      </c>
      <c r="C98" s="37" t="s">
        <v>250</v>
      </c>
      <c r="D98" s="37" t="s">
        <v>156</v>
      </c>
      <c r="E98" s="38" t="s">
        <v>86</v>
      </c>
      <c r="F98" s="37" t="s">
        <v>251</v>
      </c>
      <c r="G98" s="37" t="s">
        <v>97</v>
      </c>
      <c r="H98" s="39" t="s">
        <v>191</v>
      </c>
      <c r="I98" s="37" t="s">
        <v>149</v>
      </c>
      <c r="J98" s="37" t="s">
        <v>737</v>
      </c>
      <c r="K98" s="37" t="s">
        <v>738</v>
      </c>
      <c r="L98" s="37" t="s">
        <v>739</v>
      </c>
      <c r="M98" s="37" t="s">
        <v>740</v>
      </c>
    </row>
    <row r="99" customFormat="false" ht="135.75" hidden="false" customHeight="true" outlineLevel="0" collapsed="false">
      <c r="A99" s="37" t="s">
        <v>741</v>
      </c>
      <c r="B99" s="37" t="s">
        <v>742</v>
      </c>
      <c r="C99" s="37" t="s">
        <v>374</v>
      </c>
      <c r="D99" s="37" t="s">
        <v>743</v>
      </c>
      <c r="E99" s="38" t="s">
        <v>86</v>
      </c>
      <c r="F99" s="37" t="s">
        <v>251</v>
      </c>
      <c r="G99" s="37" t="s">
        <v>66</v>
      </c>
      <c r="H99" s="39" t="s">
        <v>191</v>
      </c>
      <c r="I99" s="37" t="s">
        <v>149</v>
      </c>
      <c r="J99" s="37" t="s">
        <v>744</v>
      </c>
      <c r="K99" s="37" t="s">
        <v>745</v>
      </c>
      <c r="L99" s="37" t="s">
        <v>746</v>
      </c>
      <c r="M99" s="37" t="s">
        <v>747</v>
      </c>
    </row>
    <row r="100" customFormat="false" ht="79.5" hidden="false" customHeight="true" outlineLevel="0" collapsed="false">
      <c r="A100" s="37" t="s">
        <v>748</v>
      </c>
      <c r="B100" s="37" t="s">
        <v>749</v>
      </c>
      <c r="C100" s="37" t="s">
        <v>410</v>
      </c>
      <c r="D100" s="37" t="s">
        <v>242</v>
      </c>
      <c r="E100" s="38" t="s">
        <v>86</v>
      </c>
      <c r="F100" s="37" t="s">
        <v>750</v>
      </c>
      <c r="G100" s="37" t="s">
        <v>47</v>
      </c>
      <c r="H100" s="39" t="s">
        <v>191</v>
      </c>
      <c r="I100" s="37" t="s">
        <v>149</v>
      </c>
      <c r="J100" s="37" t="s">
        <v>751</v>
      </c>
      <c r="K100" s="37" t="s">
        <v>752</v>
      </c>
      <c r="L100" s="37" t="s">
        <v>753</v>
      </c>
      <c r="M100" s="37" t="s">
        <v>754</v>
      </c>
    </row>
    <row r="101" customFormat="false" ht="34.5" hidden="false" customHeight="true" outlineLevel="0" collapsed="false">
      <c r="A101" s="44" t="s">
        <v>755</v>
      </c>
      <c r="B101" s="44" t="s">
        <v>756</v>
      </c>
      <c r="C101" s="44" t="s">
        <v>250</v>
      </c>
      <c r="D101" s="44" t="s">
        <v>168</v>
      </c>
      <c r="E101" s="44" t="s">
        <v>88</v>
      </c>
      <c r="F101" s="44" t="s">
        <v>251</v>
      </c>
      <c r="G101" s="44" t="s">
        <v>97</v>
      </c>
      <c r="H101" s="44" t="s">
        <v>757</v>
      </c>
      <c r="I101" s="44" t="s">
        <v>149</v>
      </c>
      <c r="J101" s="44" t="s">
        <v>758</v>
      </c>
      <c r="K101" s="45" t="s">
        <v>759</v>
      </c>
      <c r="L101" s="44" t="s">
        <v>760</v>
      </c>
      <c r="M101" s="44" t="s">
        <v>761</v>
      </c>
    </row>
    <row r="102" customFormat="false" ht="15" hidden="false" customHeight="true" outlineLevel="0" collapsed="false">
      <c r="A102" s="44" t="s">
        <v>762</v>
      </c>
      <c r="B102" s="44" t="s">
        <v>763</v>
      </c>
      <c r="C102" s="44" t="s">
        <v>374</v>
      </c>
      <c r="D102" s="44" t="s">
        <v>743</v>
      </c>
      <c r="E102" s="44" t="s">
        <v>86</v>
      </c>
      <c r="F102" s="44" t="s">
        <v>251</v>
      </c>
      <c r="G102" s="44" t="s">
        <v>66</v>
      </c>
      <c r="H102" s="44" t="s">
        <v>757</v>
      </c>
      <c r="I102" s="44" t="s">
        <v>764</v>
      </c>
      <c r="J102" s="44" t="s">
        <v>765</v>
      </c>
      <c r="K102" s="45" t="s">
        <v>766</v>
      </c>
      <c r="L102" s="44" t="s">
        <v>767</v>
      </c>
      <c r="M102" s="44" t="s">
        <v>768</v>
      </c>
    </row>
    <row r="103" customFormat="false" ht="15" hidden="false" customHeight="true" outlineLevel="0" collapsed="false">
      <c r="A103" s="44" t="s">
        <v>769</v>
      </c>
      <c r="B103" s="44" t="s">
        <v>770</v>
      </c>
      <c r="C103" s="44" t="s">
        <v>771</v>
      </c>
      <c r="D103" s="44" t="s">
        <v>242</v>
      </c>
      <c r="E103" s="44" t="s">
        <v>86</v>
      </c>
      <c r="F103" s="44" t="s">
        <v>251</v>
      </c>
      <c r="G103" s="44" t="s">
        <v>97</v>
      </c>
      <c r="H103" s="44" t="s">
        <v>83</v>
      </c>
      <c r="I103" s="44" t="s">
        <v>149</v>
      </c>
      <c r="J103" s="44" t="s">
        <v>772</v>
      </c>
      <c r="K103" s="45" t="s">
        <v>773</v>
      </c>
      <c r="L103" s="44" t="s">
        <v>246</v>
      </c>
      <c r="M103" s="44" t="s">
        <v>774</v>
      </c>
    </row>
    <row r="104" customFormat="false" ht="45.75" hidden="false" customHeight="true" outlineLevel="0" collapsed="false">
      <c r="A104" s="37" t="s">
        <v>775</v>
      </c>
      <c r="B104" s="37" t="s">
        <v>776</v>
      </c>
      <c r="C104" s="37" t="s">
        <v>147</v>
      </c>
      <c r="D104" s="37" t="s">
        <v>777</v>
      </c>
      <c r="E104" s="38" t="s">
        <v>84</v>
      </c>
      <c r="F104" s="37" t="s">
        <v>48</v>
      </c>
      <c r="G104" s="37" t="s">
        <v>778</v>
      </c>
      <c r="H104" s="42" t="s">
        <v>83</v>
      </c>
      <c r="I104" s="37" t="s">
        <v>149</v>
      </c>
      <c r="J104" s="37" t="s">
        <v>779</v>
      </c>
      <c r="K104" s="37" t="s">
        <v>780</v>
      </c>
      <c r="L104" s="37" t="s">
        <v>246</v>
      </c>
      <c r="M104" s="37" t="s">
        <v>781</v>
      </c>
    </row>
    <row r="105" customFormat="false" ht="79.5" hidden="false" customHeight="true" outlineLevel="0" collapsed="false">
      <c r="A105" s="37" t="s">
        <v>46</v>
      </c>
      <c r="B105" s="37" t="s">
        <v>782</v>
      </c>
      <c r="C105" s="37" t="s">
        <v>147</v>
      </c>
      <c r="D105" s="37" t="s">
        <v>148</v>
      </c>
      <c r="E105" s="38" t="s">
        <v>84</v>
      </c>
      <c r="F105" s="37" t="s">
        <v>48</v>
      </c>
      <c r="G105" s="37" t="s">
        <v>47</v>
      </c>
      <c r="H105" s="42" t="s">
        <v>83</v>
      </c>
      <c r="I105" s="37" t="s">
        <v>149</v>
      </c>
      <c r="J105" s="37" t="s">
        <v>783</v>
      </c>
      <c r="K105" s="37" t="s">
        <v>784</v>
      </c>
      <c r="L105" s="37" t="s">
        <v>785</v>
      </c>
      <c r="M105" s="37" t="s">
        <v>786</v>
      </c>
    </row>
    <row r="106" customFormat="false" ht="90.75" hidden="false" customHeight="true" outlineLevel="0" collapsed="false">
      <c r="A106" s="37" t="s">
        <v>50</v>
      </c>
      <c r="B106" s="37" t="s">
        <v>787</v>
      </c>
      <c r="C106" s="37" t="s">
        <v>147</v>
      </c>
      <c r="D106" s="37" t="s">
        <v>148</v>
      </c>
      <c r="E106" s="38" t="s">
        <v>84</v>
      </c>
      <c r="F106" s="37" t="s">
        <v>48</v>
      </c>
      <c r="G106" s="37" t="s">
        <v>778</v>
      </c>
      <c r="H106" s="42" t="s">
        <v>83</v>
      </c>
      <c r="I106" s="37" t="s">
        <v>149</v>
      </c>
      <c r="J106" s="37" t="s">
        <v>788</v>
      </c>
      <c r="K106" s="37" t="s">
        <v>789</v>
      </c>
      <c r="L106" s="37" t="s">
        <v>790</v>
      </c>
      <c r="M106" s="37" t="s">
        <v>791</v>
      </c>
    </row>
    <row r="107" customFormat="false" ht="57" hidden="false" customHeight="true" outlineLevel="0" collapsed="false">
      <c r="A107" s="37" t="s">
        <v>62</v>
      </c>
      <c r="B107" s="37" t="s">
        <v>792</v>
      </c>
      <c r="C107" s="37" t="s">
        <v>793</v>
      </c>
      <c r="D107" s="37" t="s">
        <v>156</v>
      </c>
      <c r="E107" s="38" t="s">
        <v>84</v>
      </c>
      <c r="F107" s="37" t="s">
        <v>63</v>
      </c>
      <c r="G107" s="37" t="s">
        <v>60</v>
      </c>
      <c r="H107" s="42" t="s">
        <v>83</v>
      </c>
      <c r="I107" s="37" t="s">
        <v>149</v>
      </c>
      <c r="J107" s="37" t="s">
        <v>794</v>
      </c>
      <c r="K107" s="37" t="s">
        <v>795</v>
      </c>
      <c r="L107" s="37" t="s">
        <v>246</v>
      </c>
      <c r="M107" s="37" t="s">
        <v>796</v>
      </c>
    </row>
    <row r="108" customFormat="false" ht="68.25" hidden="false" customHeight="true" outlineLevel="0" collapsed="false">
      <c r="A108" s="37" t="s">
        <v>68</v>
      </c>
      <c r="B108" s="37" t="s">
        <v>797</v>
      </c>
      <c r="C108" s="37" t="s">
        <v>374</v>
      </c>
      <c r="D108" s="37" t="s">
        <v>168</v>
      </c>
      <c r="E108" s="38" t="s">
        <v>84</v>
      </c>
      <c r="F108" s="37" t="s">
        <v>63</v>
      </c>
      <c r="G108" s="37" t="s">
        <v>66</v>
      </c>
      <c r="H108" s="42" t="s">
        <v>83</v>
      </c>
      <c r="I108" s="37" t="s">
        <v>149</v>
      </c>
      <c r="J108" s="37" t="s">
        <v>798</v>
      </c>
      <c r="K108" s="37" t="s">
        <v>799</v>
      </c>
      <c r="L108" s="37" t="s">
        <v>800</v>
      </c>
      <c r="M108" s="37" t="s">
        <v>801</v>
      </c>
    </row>
    <row r="109" customFormat="false" ht="90.75" hidden="false" customHeight="true" outlineLevel="0" collapsed="false">
      <c r="A109" s="37" t="s">
        <v>70</v>
      </c>
      <c r="B109" s="37" t="s">
        <v>802</v>
      </c>
      <c r="C109" s="37" t="s">
        <v>374</v>
      </c>
      <c r="D109" s="37" t="s">
        <v>168</v>
      </c>
      <c r="E109" s="38" t="s">
        <v>84</v>
      </c>
      <c r="F109" s="37" t="s">
        <v>63</v>
      </c>
      <c r="G109" s="37" t="s">
        <v>66</v>
      </c>
      <c r="H109" s="42" t="s">
        <v>83</v>
      </c>
      <c r="I109" s="37" t="s">
        <v>149</v>
      </c>
      <c r="J109" s="37" t="s">
        <v>803</v>
      </c>
      <c r="K109" s="37" t="s">
        <v>804</v>
      </c>
      <c r="L109" s="37" t="s">
        <v>805</v>
      </c>
      <c r="M109" s="37" t="s">
        <v>806</v>
      </c>
    </row>
    <row r="110" customFormat="false" ht="34.5" hidden="false" customHeight="true" outlineLevel="0" collapsed="false">
      <c r="A110" s="37" t="s">
        <v>53</v>
      </c>
      <c r="B110" s="37" t="s">
        <v>807</v>
      </c>
      <c r="C110" s="37" t="s">
        <v>147</v>
      </c>
      <c r="D110" s="37" t="s">
        <v>148</v>
      </c>
      <c r="E110" s="38" t="s">
        <v>84</v>
      </c>
      <c r="F110" s="37" t="s">
        <v>48</v>
      </c>
      <c r="G110" s="37" t="s">
        <v>47</v>
      </c>
      <c r="H110" s="42" t="s">
        <v>83</v>
      </c>
      <c r="I110" s="37" t="s">
        <v>149</v>
      </c>
      <c r="J110" s="37" t="s">
        <v>808</v>
      </c>
      <c r="K110" s="37" t="s">
        <v>809</v>
      </c>
      <c r="L110" s="37" t="s">
        <v>50</v>
      </c>
      <c r="M110" s="37" t="s">
        <v>810</v>
      </c>
    </row>
    <row r="111" customFormat="false" ht="23.85" hidden="false" customHeight="false" outlineLevel="0" collapsed="false">
      <c r="A111" s="37" t="s">
        <v>811</v>
      </c>
      <c r="B111" s="37" t="s">
        <v>812</v>
      </c>
      <c r="C111" s="37" t="s">
        <v>813</v>
      </c>
      <c r="D111" s="37" t="s">
        <v>777</v>
      </c>
      <c r="E111" s="38" t="s">
        <v>84</v>
      </c>
      <c r="F111" s="37" t="s">
        <v>210</v>
      </c>
      <c r="G111" s="37" t="s">
        <v>284</v>
      </c>
      <c r="H111" s="42" t="s">
        <v>85</v>
      </c>
      <c r="I111" s="37" t="s">
        <v>149</v>
      </c>
      <c r="J111" s="37" t="s">
        <v>812</v>
      </c>
      <c r="K111" s="37" t="s">
        <v>814</v>
      </c>
      <c r="L111" s="37" t="s">
        <v>246</v>
      </c>
      <c r="M111" s="37" t="s">
        <v>815</v>
      </c>
    </row>
    <row r="112" customFormat="false" ht="23.85" hidden="false" customHeight="false" outlineLevel="0" collapsed="false">
      <c r="A112" s="37" t="s">
        <v>816</v>
      </c>
      <c r="B112" s="37" t="s">
        <v>817</v>
      </c>
      <c r="C112" s="37" t="s">
        <v>813</v>
      </c>
      <c r="D112" s="37" t="s">
        <v>777</v>
      </c>
      <c r="E112" s="38" t="s">
        <v>84</v>
      </c>
      <c r="F112" s="37" t="s">
        <v>210</v>
      </c>
      <c r="G112" s="37" t="s">
        <v>169</v>
      </c>
      <c r="H112" s="42" t="s">
        <v>85</v>
      </c>
      <c r="I112" s="37" t="s">
        <v>727</v>
      </c>
      <c r="J112" s="37" t="s">
        <v>817</v>
      </c>
      <c r="K112" s="37" t="s">
        <v>814</v>
      </c>
      <c r="L112" s="37" t="s">
        <v>811</v>
      </c>
      <c r="M112" s="37" t="s">
        <v>818</v>
      </c>
    </row>
    <row r="113" customFormat="false" ht="23.85" hidden="false" customHeight="false" outlineLevel="0" collapsed="false">
      <c r="A113" s="37" t="s">
        <v>819</v>
      </c>
      <c r="B113" s="37" t="s">
        <v>820</v>
      </c>
      <c r="C113" s="37" t="s">
        <v>813</v>
      </c>
      <c r="D113" s="37" t="s">
        <v>242</v>
      </c>
      <c r="E113" s="38" t="s">
        <v>84</v>
      </c>
      <c r="F113" s="37" t="s">
        <v>210</v>
      </c>
      <c r="G113" s="37" t="s">
        <v>821</v>
      </c>
      <c r="H113" s="42" t="s">
        <v>85</v>
      </c>
      <c r="I113" s="37" t="s">
        <v>149</v>
      </c>
      <c r="J113" s="37" t="s">
        <v>820</v>
      </c>
      <c r="K113" s="37" t="s">
        <v>814</v>
      </c>
      <c r="L113" s="37" t="s">
        <v>246</v>
      </c>
      <c r="M113" s="37" t="s">
        <v>822</v>
      </c>
    </row>
    <row r="114" customFormat="false" ht="23.85" hidden="false" customHeight="false" outlineLevel="0" collapsed="false">
      <c r="A114" s="37" t="s">
        <v>823</v>
      </c>
      <c r="B114" s="37" t="s">
        <v>824</v>
      </c>
      <c r="C114" s="37" t="s">
        <v>813</v>
      </c>
      <c r="D114" s="37" t="s">
        <v>242</v>
      </c>
      <c r="E114" s="38" t="s">
        <v>84</v>
      </c>
      <c r="F114" s="37" t="s">
        <v>251</v>
      </c>
      <c r="G114" s="37" t="s">
        <v>235</v>
      </c>
      <c r="H114" s="42" t="s">
        <v>85</v>
      </c>
      <c r="I114" s="37" t="s">
        <v>149</v>
      </c>
      <c r="J114" s="37" t="s">
        <v>824</v>
      </c>
      <c r="K114" s="37" t="s">
        <v>814</v>
      </c>
      <c r="L114" s="37" t="s">
        <v>246</v>
      </c>
      <c r="M114" s="37" t="s">
        <v>825</v>
      </c>
    </row>
    <row r="115" customFormat="false" ht="23.85" hidden="false" customHeight="false" outlineLevel="0" collapsed="false">
      <c r="A115" s="37" t="s">
        <v>826</v>
      </c>
      <c r="B115" s="37" t="s">
        <v>827</v>
      </c>
      <c r="C115" s="37" t="s">
        <v>813</v>
      </c>
      <c r="D115" s="37" t="s">
        <v>168</v>
      </c>
      <c r="E115" s="38" t="s">
        <v>84</v>
      </c>
      <c r="F115" s="37" t="s">
        <v>251</v>
      </c>
      <c r="G115" s="37" t="s">
        <v>103</v>
      </c>
      <c r="H115" s="42" t="s">
        <v>85</v>
      </c>
      <c r="I115" s="37" t="s">
        <v>149</v>
      </c>
      <c r="J115" s="37" t="s">
        <v>827</v>
      </c>
      <c r="K115" s="37" t="s">
        <v>814</v>
      </c>
      <c r="L115" s="37" t="s">
        <v>246</v>
      </c>
      <c r="M115" s="37" t="s">
        <v>828</v>
      </c>
    </row>
    <row r="116" customFormat="false" ht="23.85" hidden="false" customHeight="false" outlineLevel="0" collapsed="false">
      <c r="A116" s="37" t="s">
        <v>829</v>
      </c>
      <c r="B116" s="37" t="s">
        <v>830</v>
      </c>
      <c r="C116" s="37" t="s">
        <v>813</v>
      </c>
      <c r="D116" s="37" t="s">
        <v>831</v>
      </c>
      <c r="E116" s="38" t="s">
        <v>84</v>
      </c>
      <c r="F116" s="37" t="s">
        <v>210</v>
      </c>
      <c r="G116" s="37" t="s">
        <v>100</v>
      </c>
      <c r="H116" s="42" t="s">
        <v>85</v>
      </c>
      <c r="I116" s="37" t="s">
        <v>149</v>
      </c>
      <c r="J116" s="37" t="s">
        <v>830</v>
      </c>
      <c r="K116" s="37" t="s">
        <v>814</v>
      </c>
      <c r="L116" s="37" t="s">
        <v>246</v>
      </c>
      <c r="M116" s="37" t="s">
        <v>832</v>
      </c>
    </row>
    <row r="117" customFormat="false" ht="23.85" hidden="false" customHeight="false" outlineLevel="0" collapsed="false">
      <c r="A117" s="37" t="s">
        <v>833</v>
      </c>
      <c r="B117" s="37" t="s">
        <v>834</v>
      </c>
      <c r="C117" s="37" t="s">
        <v>813</v>
      </c>
      <c r="D117" s="37" t="s">
        <v>148</v>
      </c>
      <c r="E117" s="38" t="s">
        <v>86</v>
      </c>
      <c r="F117" s="37" t="s">
        <v>210</v>
      </c>
      <c r="G117" s="37" t="s">
        <v>47</v>
      </c>
      <c r="H117" s="42" t="s">
        <v>85</v>
      </c>
      <c r="I117" s="37" t="s">
        <v>727</v>
      </c>
      <c r="J117" s="37" t="s">
        <v>834</v>
      </c>
      <c r="K117" s="37" t="s">
        <v>814</v>
      </c>
      <c r="L117" s="37" t="s">
        <v>816</v>
      </c>
      <c r="M117" s="37" t="s">
        <v>835</v>
      </c>
    </row>
    <row r="118" customFormat="false" ht="23.85" hidden="false" customHeight="false" outlineLevel="0" collapsed="false">
      <c r="A118" s="37" t="s">
        <v>836</v>
      </c>
      <c r="B118" s="37" t="s">
        <v>837</v>
      </c>
      <c r="C118" s="37" t="s">
        <v>813</v>
      </c>
      <c r="D118" s="37" t="s">
        <v>148</v>
      </c>
      <c r="E118" s="38" t="s">
        <v>86</v>
      </c>
      <c r="F118" s="37" t="s">
        <v>210</v>
      </c>
      <c r="G118" s="37" t="s">
        <v>778</v>
      </c>
      <c r="H118" s="42" t="s">
        <v>85</v>
      </c>
      <c r="I118" s="37" t="s">
        <v>727</v>
      </c>
      <c r="J118" s="37" t="s">
        <v>837</v>
      </c>
      <c r="K118" s="37" t="s">
        <v>814</v>
      </c>
      <c r="L118" s="37" t="s">
        <v>816</v>
      </c>
      <c r="M118" s="37" t="s">
        <v>838</v>
      </c>
    </row>
    <row r="119" customFormat="false" ht="23.85" hidden="false" customHeight="false" outlineLevel="0" collapsed="false">
      <c r="A119" s="37" t="s">
        <v>839</v>
      </c>
      <c r="B119" s="37" t="s">
        <v>840</v>
      </c>
      <c r="C119" s="37" t="s">
        <v>813</v>
      </c>
      <c r="D119" s="37" t="s">
        <v>148</v>
      </c>
      <c r="E119" s="38" t="s">
        <v>86</v>
      </c>
      <c r="F119" s="37" t="s">
        <v>210</v>
      </c>
      <c r="G119" s="37" t="s">
        <v>284</v>
      </c>
      <c r="H119" s="42" t="s">
        <v>85</v>
      </c>
      <c r="I119" s="37" t="s">
        <v>727</v>
      </c>
      <c r="J119" s="37" t="s">
        <v>840</v>
      </c>
      <c r="K119" s="37" t="s">
        <v>814</v>
      </c>
      <c r="L119" s="37" t="s">
        <v>841</v>
      </c>
      <c r="M119" s="37" t="s">
        <v>842</v>
      </c>
    </row>
    <row r="120" customFormat="false" ht="23.85" hidden="false" customHeight="false" outlineLevel="0" collapsed="false">
      <c r="A120" s="37" t="s">
        <v>843</v>
      </c>
      <c r="B120" s="37" t="s">
        <v>844</v>
      </c>
      <c r="C120" s="37" t="s">
        <v>813</v>
      </c>
      <c r="D120" s="37" t="s">
        <v>148</v>
      </c>
      <c r="E120" s="38" t="s">
        <v>86</v>
      </c>
      <c r="F120" s="37" t="s">
        <v>190</v>
      </c>
      <c r="G120" s="37" t="s">
        <v>778</v>
      </c>
      <c r="H120" s="42" t="s">
        <v>85</v>
      </c>
      <c r="I120" s="37" t="s">
        <v>727</v>
      </c>
      <c r="J120" s="37" t="s">
        <v>844</v>
      </c>
      <c r="K120" s="37" t="s">
        <v>814</v>
      </c>
      <c r="L120" s="37" t="s">
        <v>841</v>
      </c>
      <c r="M120" s="37" t="s">
        <v>845</v>
      </c>
    </row>
    <row r="121" customFormat="false" ht="23.85" hidden="false" customHeight="false" outlineLevel="0" collapsed="false">
      <c r="A121" s="37" t="s">
        <v>846</v>
      </c>
      <c r="B121" s="37" t="s">
        <v>847</v>
      </c>
      <c r="C121" s="37" t="s">
        <v>813</v>
      </c>
      <c r="D121" s="37" t="s">
        <v>148</v>
      </c>
      <c r="E121" s="38" t="s">
        <v>86</v>
      </c>
      <c r="F121" s="37" t="s">
        <v>210</v>
      </c>
      <c r="G121" s="37" t="s">
        <v>47</v>
      </c>
      <c r="H121" s="42" t="s">
        <v>85</v>
      </c>
      <c r="I121" s="37" t="s">
        <v>727</v>
      </c>
      <c r="J121" s="37" t="s">
        <v>847</v>
      </c>
      <c r="K121" s="37" t="s">
        <v>814</v>
      </c>
      <c r="L121" s="37" t="s">
        <v>848</v>
      </c>
      <c r="M121" s="37" t="s">
        <v>849</v>
      </c>
    </row>
    <row r="122" customFormat="false" ht="23.85" hidden="false" customHeight="false" outlineLevel="0" collapsed="false">
      <c r="A122" s="37" t="s">
        <v>850</v>
      </c>
      <c r="B122" s="37" t="s">
        <v>851</v>
      </c>
      <c r="C122" s="37" t="s">
        <v>813</v>
      </c>
      <c r="D122" s="37" t="s">
        <v>181</v>
      </c>
      <c r="E122" s="38" t="s">
        <v>86</v>
      </c>
      <c r="F122" s="37" t="s">
        <v>190</v>
      </c>
      <c r="G122" s="37" t="s">
        <v>235</v>
      </c>
      <c r="H122" s="42" t="s">
        <v>85</v>
      </c>
      <c r="I122" s="37" t="s">
        <v>727</v>
      </c>
      <c r="J122" s="37" t="s">
        <v>851</v>
      </c>
      <c r="K122" s="37" t="s">
        <v>814</v>
      </c>
      <c r="L122" s="37" t="s">
        <v>811</v>
      </c>
      <c r="M122" s="37" t="s">
        <v>852</v>
      </c>
    </row>
    <row r="123" customFormat="false" ht="23.85" hidden="false" customHeight="false" outlineLevel="0" collapsed="false">
      <c r="A123" s="37" t="s">
        <v>853</v>
      </c>
      <c r="B123" s="37" t="s">
        <v>854</v>
      </c>
      <c r="C123" s="37" t="s">
        <v>813</v>
      </c>
      <c r="D123" s="37" t="s">
        <v>242</v>
      </c>
      <c r="E123" s="38" t="s">
        <v>86</v>
      </c>
      <c r="F123" s="37" t="s">
        <v>251</v>
      </c>
      <c r="G123" s="37" t="s">
        <v>56</v>
      </c>
      <c r="H123" s="42" t="s">
        <v>85</v>
      </c>
      <c r="I123" s="37" t="s">
        <v>149</v>
      </c>
      <c r="J123" s="37" t="s">
        <v>854</v>
      </c>
      <c r="K123" s="37" t="s">
        <v>814</v>
      </c>
      <c r="L123" s="37" t="s">
        <v>246</v>
      </c>
      <c r="M123" s="37" t="s">
        <v>855</v>
      </c>
    </row>
    <row r="124" customFormat="false" ht="23.85" hidden="false" customHeight="false" outlineLevel="0" collapsed="false">
      <c r="A124" s="37" t="s">
        <v>856</v>
      </c>
      <c r="B124" s="37" t="s">
        <v>857</v>
      </c>
      <c r="C124" s="37" t="s">
        <v>813</v>
      </c>
      <c r="D124" s="37" t="s">
        <v>168</v>
      </c>
      <c r="E124" s="38" t="s">
        <v>86</v>
      </c>
      <c r="F124" s="37" t="s">
        <v>190</v>
      </c>
      <c r="G124" s="37" t="s">
        <v>821</v>
      </c>
      <c r="H124" s="42" t="s">
        <v>85</v>
      </c>
      <c r="I124" s="37" t="s">
        <v>727</v>
      </c>
      <c r="J124" s="37" t="s">
        <v>857</v>
      </c>
      <c r="K124" s="37" t="s">
        <v>814</v>
      </c>
      <c r="L124" s="37" t="s">
        <v>819</v>
      </c>
      <c r="M124" s="37" t="s">
        <v>858</v>
      </c>
    </row>
    <row r="125" customFormat="false" ht="23.85" hidden="false" customHeight="false" outlineLevel="0" collapsed="false">
      <c r="A125" s="37" t="s">
        <v>55</v>
      </c>
      <c r="B125" s="37" t="s">
        <v>859</v>
      </c>
      <c r="C125" s="37" t="s">
        <v>813</v>
      </c>
      <c r="D125" s="37" t="s">
        <v>148</v>
      </c>
      <c r="E125" s="38" t="s">
        <v>86</v>
      </c>
      <c r="F125" s="37" t="s">
        <v>190</v>
      </c>
      <c r="G125" s="37" t="s">
        <v>860</v>
      </c>
      <c r="H125" s="42" t="s">
        <v>85</v>
      </c>
      <c r="I125" s="37" t="s">
        <v>727</v>
      </c>
      <c r="J125" s="37" t="s">
        <v>859</v>
      </c>
      <c r="K125" s="37" t="s">
        <v>814</v>
      </c>
      <c r="L125" s="37" t="s">
        <v>846</v>
      </c>
      <c r="M125" s="37" t="s">
        <v>861</v>
      </c>
    </row>
    <row r="126" customFormat="false" ht="23.85" hidden="false" customHeight="false" outlineLevel="0" collapsed="false">
      <c r="A126" s="37" t="s">
        <v>862</v>
      </c>
      <c r="B126" s="37" t="s">
        <v>863</v>
      </c>
      <c r="C126" s="37" t="s">
        <v>813</v>
      </c>
      <c r="D126" s="37" t="s">
        <v>743</v>
      </c>
      <c r="E126" s="38" t="s">
        <v>86</v>
      </c>
      <c r="F126" s="37" t="s">
        <v>210</v>
      </c>
      <c r="G126" s="37" t="s">
        <v>864</v>
      </c>
      <c r="H126" s="42" t="s">
        <v>85</v>
      </c>
      <c r="I126" s="37" t="s">
        <v>727</v>
      </c>
      <c r="J126" s="37" t="s">
        <v>863</v>
      </c>
      <c r="K126" s="37" t="s">
        <v>814</v>
      </c>
      <c r="L126" s="37" t="s">
        <v>846</v>
      </c>
      <c r="M126" s="37" t="s">
        <v>865</v>
      </c>
    </row>
    <row r="127" customFormat="false" ht="23.85" hidden="false" customHeight="false" outlineLevel="0" collapsed="false">
      <c r="A127" s="37" t="s">
        <v>866</v>
      </c>
      <c r="B127" s="37" t="s">
        <v>867</v>
      </c>
      <c r="C127" s="37" t="s">
        <v>813</v>
      </c>
      <c r="D127" s="37" t="s">
        <v>868</v>
      </c>
      <c r="E127" s="38" t="s">
        <v>86</v>
      </c>
      <c r="F127" s="37" t="s">
        <v>190</v>
      </c>
      <c r="G127" s="37" t="s">
        <v>869</v>
      </c>
      <c r="H127" s="42" t="s">
        <v>85</v>
      </c>
      <c r="I127" s="37" t="s">
        <v>727</v>
      </c>
      <c r="J127" s="37" t="s">
        <v>867</v>
      </c>
      <c r="K127" s="37" t="s">
        <v>814</v>
      </c>
      <c r="L127" s="37" t="s">
        <v>846</v>
      </c>
      <c r="M127" s="37" t="s">
        <v>870</v>
      </c>
    </row>
    <row r="128" customFormat="false" ht="23.85" hidden="false" customHeight="false" outlineLevel="0" collapsed="false">
      <c r="A128" s="37" t="s">
        <v>871</v>
      </c>
      <c r="B128" s="37" t="s">
        <v>872</v>
      </c>
      <c r="C128" s="37" t="s">
        <v>813</v>
      </c>
      <c r="D128" s="37" t="s">
        <v>868</v>
      </c>
      <c r="E128" s="38" t="s">
        <v>86</v>
      </c>
      <c r="F128" s="37" t="s">
        <v>210</v>
      </c>
      <c r="G128" s="37" t="s">
        <v>699</v>
      </c>
      <c r="H128" s="42" t="s">
        <v>85</v>
      </c>
      <c r="I128" s="37" t="s">
        <v>727</v>
      </c>
      <c r="J128" s="37" t="s">
        <v>872</v>
      </c>
      <c r="K128" s="37" t="s">
        <v>814</v>
      </c>
      <c r="L128" s="37" t="s">
        <v>846</v>
      </c>
      <c r="M128" s="37" t="s">
        <v>873</v>
      </c>
    </row>
    <row r="129" customFormat="false" ht="23.85" hidden="false" customHeight="false" outlineLevel="0" collapsed="false">
      <c r="A129" s="37" t="s">
        <v>874</v>
      </c>
      <c r="B129" s="37" t="s">
        <v>875</v>
      </c>
      <c r="C129" s="37" t="s">
        <v>813</v>
      </c>
      <c r="D129" s="37" t="s">
        <v>777</v>
      </c>
      <c r="E129" s="38" t="s">
        <v>88</v>
      </c>
      <c r="F129" s="37" t="s">
        <v>210</v>
      </c>
      <c r="G129" s="37" t="s">
        <v>876</v>
      </c>
      <c r="H129" s="42" t="s">
        <v>85</v>
      </c>
      <c r="I129" s="37" t="s">
        <v>727</v>
      </c>
      <c r="J129" s="37" t="s">
        <v>875</v>
      </c>
      <c r="K129" s="37" t="s">
        <v>814</v>
      </c>
      <c r="L129" s="37" t="s">
        <v>846</v>
      </c>
      <c r="M129" s="37" t="s">
        <v>877</v>
      </c>
    </row>
    <row r="130" customFormat="false" ht="23.85" hidden="false" customHeight="false" outlineLevel="0" collapsed="false">
      <c r="A130" s="37" t="s">
        <v>878</v>
      </c>
      <c r="B130" s="37" t="s">
        <v>879</v>
      </c>
      <c r="C130" s="37" t="s">
        <v>813</v>
      </c>
      <c r="D130" s="37" t="s">
        <v>148</v>
      </c>
      <c r="E130" s="38" t="s">
        <v>88</v>
      </c>
      <c r="F130" s="37" t="s">
        <v>210</v>
      </c>
      <c r="G130" s="37" t="s">
        <v>284</v>
      </c>
      <c r="H130" s="42" t="s">
        <v>85</v>
      </c>
      <c r="I130" s="37" t="s">
        <v>727</v>
      </c>
      <c r="J130" s="37" t="s">
        <v>879</v>
      </c>
      <c r="K130" s="37" t="s">
        <v>814</v>
      </c>
      <c r="L130" s="37" t="s">
        <v>874</v>
      </c>
      <c r="M130" s="37" t="s">
        <v>880</v>
      </c>
    </row>
    <row r="131" customFormat="false" ht="23.85" hidden="false" customHeight="false" outlineLevel="0" collapsed="false">
      <c r="A131" s="37" t="s">
        <v>881</v>
      </c>
      <c r="B131" s="37" t="s">
        <v>882</v>
      </c>
      <c r="C131" s="37" t="s">
        <v>813</v>
      </c>
      <c r="D131" s="37" t="s">
        <v>148</v>
      </c>
      <c r="E131" s="38" t="s">
        <v>88</v>
      </c>
      <c r="F131" s="37" t="s">
        <v>190</v>
      </c>
      <c r="G131" s="37" t="s">
        <v>883</v>
      </c>
      <c r="H131" s="42" t="s">
        <v>85</v>
      </c>
      <c r="I131" s="37" t="s">
        <v>727</v>
      </c>
      <c r="J131" s="37" t="s">
        <v>882</v>
      </c>
      <c r="K131" s="37" t="s">
        <v>814</v>
      </c>
      <c r="L131" s="37" t="s">
        <v>874</v>
      </c>
      <c r="M131" s="37" t="s">
        <v>884</v>
      </c>
    </row>
    <row r="132" customFormat="false" ht="15" hidden="false" customHeight="false" outlineLevel="0" collapsed="false">
      <c r="A132" s="37" t="s">
        <v>885</v>
      </c>
      <c r="B132" s="37" t="s">
        <v>886</v>
      </c>
      <c r="C132" s="37" t="s">
        <v>813</v>
      </c>
      <c r="D132" s="37" t="s">
        <v>148</v>
      </c>
      <c r="E132" s="38" t="s">
        <v>88</v>
      </c>
      <c r="F132" s="37" t="s">
        <v>210</v>
      </c>
      <c r="G132" s="37" t="s">
        <v>778</v>
      </c>
      <c r="H132" s="42" t="s">
        <v>85</v>
      </c>
      <c r="I132" s="37" t="s">
        <v>727</v>
      </c>
      <c r="J132" s="37" t="s">
        <v>886</v>
      </c>
      <c r="K132" s="37" t="s">
        <v>814</v>
      </c>
      <c r="L132" s="37" t="s">
        <v>846</v>
      </c>
      <c r="M132" s="37" t="s">
        <v>887</v>
      </c>
    </row>
    <row r="133" customFormat="false" ht="15" hidden="false" customHeight="false" outlineLevel="0" collapsed="false">
      <c r="A133" s="37" t="s">
        <v>888</v>
      </c>
      <c r="B133" s="37" t="s">
        <v>889</v>
      </c>
      <c r="C133" s="37" t="s">
        <v>813</v>
      </c>
      <c r="D133" s="37" t="s">
        <v>777</v>
      </c>
      <c r="E133" s="38" t="s">
        <v>88</v>
      </c>
      <c r="F133" s="37" t="s">
        <v>210</v>
      </c>
      <c r="G133" s="37" t="s">
        <v>876</v>
      </c>
      <c r="H133" s="42" t="s">
        <v>85</v>
      </c>
      <c r="I133" s="37" t="s">
        <v>727</v>
      </c>
      <c r="J133" s="37" t="s">
        <v>889</v>
      </c>
      <c r="K133" s="37" t="s">
        <v>814</v>
      </c>
      <c r="L133" s="37" t="s">
        <v>874</v>
      </c>
      <c r="M133" s="37" t="s">
        <v>890</v>
      </c>
    </row>
    <row r="134" customFormat="false" ht="23.85" hidden="false" customHeight="false" outlineLevel="0" collapsed="false">
      <c r="A134" s="37" t="s">
        <v>891</v>
      </c>
      <c r="B134" s="37" t="s">
        <v>892</v>
      </c>
      <c r="C134" s="37" t="s">
        <v>813</v>
      </c>
      <c r="D134" s="37" t="s">
        <v>148</v>
      </c>
      <c r="E134" s="38" t="s">
        <v>88</v>
      </c>
      <c r="F134" s="37" t="s">
        <v>210</v>
      </c>
      <c r="G134" s="37" t="s">
        <v>893</v>
      </c>
      <c r="H134" s="42" t="s">
        <v>85</v>
      </c>
      <c r="I134" s="37" t="s">
        <v>727</v>
      </c>
      <c r="J134" s="37" t="s">
        <v>892</v>
      </c>
      <c r="K134" s="37" t="s">
        <v>814</v>
      </c>
      <c r="L134" s="37" t="s">
        <v>846</v>
      </c>
      <c r="M134" s="37" t="s">
        <v>894</v>
      </c>
    </row>
    <row r="135" customFormat="false" ht="23.85" hidden="false" customHeight="false" outlineLevel="0" collapsed="false">
      <c r="A135" s="37" t="s">
        <v>895</v>
      </c>
      <c r="B135" s="37" t="s">
        <v>896</v>
      </c>
      <c r="C135" s="37" t="s">
        <v>813</v>
      </c>
      <c r="D135" s="37" t="s">
        <v>148</v>
      </c>
      <c r="E135" s="38" t="s">
        <v>88</v>
      </c>
      <c r="F135" s="37" t="s">
        <v>190</v>
      </c>
      <c r="G135" s="37" t="s">
        <v>66</v>
      </c>
      <c r="H135" s="42" t="s">
        <v>85</v>
      </c>
      <c r="I135" s="37" t="s">
        <v>727</v>
      </c>
      <c r="J135" s="37" t="s">
        <v>896</v>
      </c>
      <c r="K135" s="37" t="s">
        <v>814</v>
      </c>
      <c r="L135" s="37" t="s">
        <v>891</v>
      </c>
      <c r="M135" s="37" t="s">
        <v>897</v>
      </c>
    </row>
    <row r="136" customFormat="false" ht="15" hidden="false" customHeight="false" outlineLevel="0" collapsed="false">
      <c r="A136" s="37" t="s">
        <v>898</v>
      </c>
      <c r="B136" s="37" t="s">
        <v>899</v>
      </c>
      <c r="C136" s="37" t="s">
        <v>813</v>
      </c>
      <c r="D136" s="37" t="s">
        <v>156</v>
      </c>
      <c r="E136" s="38" t="s">
        <v>88</v>
      </c>
      <c r="F136" s="37" t="s">
        <v>210</v>
      </c>
      <c r="G136" s="37" t="s">
        <v>548</v>
      </c>
      <c r="H136" s="42" t="s">
        <v>85</v>
      </c>
      <c r="I136" s="37" t="s">
        <v>149</v>
      </c>
      <c r="J136" s="37" t="s">
        <v>899</v>
      </c>
      <c r="K136" s="37" t="s">
        <v>814</v>
      </c>
      <c r="L136" s="37" t="s">
        <v>246</v>
      </c>
      <c r="M136" s="37" t="s">
        <v>900</v>
      </c>
    </row>
    <row r="137" customFormat="false" ht="23.85" hidden="false" customHeight="false" outlineLevel="0" collapsed="false">
      <c r="A137" s="37" t="s">
        <v>901</v>
      </c>
      <c r="B137" s="37" t="s">
        <v>902</v>
      </c>
      <c r="C137" s="37" t="s">
        <v>813</v>
      </c>
      <c r="D137" s="37" t="s">
        <v>743</v>
      </c>
      <c r="E137" s="38" t="s">
        <v>88</v>
      </c>
      <c r="F137" s="37" t="s">
        <v>210</v>
      </c>
      <c r="G137" s="37" t="s">
        <v>66</v>
      </c>
      <c r="H137" s="42" t="s">
        <v>85</v>
      </c>
      <c r="I137" s="37" t="s">
        <v>727</v>
      </c>
      <c r="J137" s="37" t="s">
        <v>902</v>
      </c>
      <c r="K137" s="37" t="s">
        <v>814</v>
      </c>
      <c r="L137" s="37" t="s">
        <v>846</v>
      </c>
      <c r="M137" s="37" t="s">
        <v>903</v>
      </c>
    </row>
    <row r="138" customFormat="false" ht="23.85" hidden="false" customHeight="false" outlineLevel="0" collapsed="false">
      <c r="A138" s="37" t="s">
        <v>904</v>
      </c>
      <c r="B138" s="37" t="s">
        <v>905</v>
      </c>
      <c r="C138" s="37" t="s">
        <v>813</v>
      </c>
      <c r="D138" s="37" t="s">
        <v>242</v>
      </c>
      <c r="E138" s="38" t="s">
        <v>88</v>
      </c>
      <c r="F138" s="37" t="s">
        <v>210</v>
      </c>
      <c r="G138" s="37" t="s">
        <v>906</v>
      </c>
      <c r="H138" s="42" t="s">
        <v>85</v>
      </c>
      <c r="I138" s="37" t="s">
        <v>149</v>
      </c>
      <c r="J138" s="37" t="s">
        <v>905</v>
      </c>
      <c r="K138" s="37" t="s">
        <v>814</v>
      </c>
      <c r="L138" s="37" t="s">
        <v>246</v>
      </c>
      <c r="M138" s="37" t="s">
        <v>907</v>
      </c>
    </row>
    <row r="139" customFormat="false" ht="23.85" hidden="false" customHeight="false" outlineLevel="0" collapsed="false">
      <c r="A139" s="37" t="s">
        <v>908</v>
      </c>
      <c r="B139" s="37" t="s">
        <v>909</v>
      </c>
      <c r="C139" s="37" t="s">
        <v>813</v>
      </c>
      <c r="D139" s="37" t="s">
        <v>242</v>
      </c>
      <c r="E139" s="38" t="s">
        <v>88</v>
      </c>
      <c r="F139" s="37" t="s">
        <v>251</v>
      </c>
      <c r="G139" s="37" t="s">
        <v>175</v>
      </c>
      <c r="H139" s="42" t="s">
        <v>85</v>
      </c>
      <c r="I139" s="37" t="s">
        <v>149</v>
      </c>
      <c r="J139" s="37" t="s">
        <v>909</v>
      </c>
      <c r="K139" s="37" t="s">
        <v>814</v>
      </c>
      <c r="L139" s="37" t="s">
        <v>246</v>
      </c>
      <c r="M139" s="37" t="s">
        <v>910</v>
      </c>
    </row>
    <row r="140" customFormat="false" ht="15" hidden="false" customHeight="false" outlineLevel="0" collapsed="false">
      <c r="A140" s="37" t="s">
        <v>911</v>
      </c>
      <c r="B140" s="37" t="s">
        <v>912</v>
      </c>
      <c r="C140" s="37" t="s">
        <v>813</v>
      </c>
      <c r="D140" s="37" t="s">
        <v>181</v>
      </c>
      <c r="E140" s="38" t="s">
        <v>88</v>
      </c>
      <c r="F140" s="37" t="s">
        <v>210</v>
      </c>
      <c r="G140" s="37" t="s">
        <v>477</v>
      </c>
      <c r="H140" s="42" t="s">
        <v>85</v>
      </c>
      <c r="I140" s="37" t="s">
        <v>727</v>
      </c>
      <c r="J140" s="37" t="s">
        <v>912</v>
      </c>
      <c r="K140" s="37" t="s">
        <v>814</v>
      </c>
      <c r="L140" s="37" t="s">
        <v>816</v>
      </c>
      <c r="M140" s="37" t="s">
        <v>913</v>
      </c>
    </row>
    <row r="141" customFormat="false" ht="15" hidden="false" customHeight="false" outlineLevel="0" collapsed="false">
      <c r="A141" s="37" t="s">
        <v>914</v>
      </c>
      <c r="B141" s="37" t="s">
        <v>915</v>
      </c>
      <c r="C141" s="37" t="s">
        <v>813</v>
      </c>
      <c r="D141" s="37" t="s">
        <v>148</v>
      </c>
      <c r="E141" s="38" t="s">
        <v>88</v>
      </c>
      <c r="F141" s="37" t="s">
        <v>190</v>
      </c>
      <c r="G141" s="37" t="s">
        <v>916</v>
      </c>
      <c r="H141" s="42" t="s">
        <v>85</v>
      </c>
      <c r="I141" s="37" t="s">
        <v>727</v>
      </c>
      <c r="J141" s="37" t="s">
        <v>915</v>
      </c>
      <c r="K141" s="37" t="s">
        <v>814</v>
      </c>
      <c r="L141" s="37" t="s">
        <v>917</v>
      </c>
      <c r="M141" s="37" t="s">
        <v>918</v>
      </c>
    </row>
    <row r="142" customFormat="false" ht="23.85" hidden="false" customHeight="false" outlineLevel="0" collapsed="false">
      <c r="A142" s="37" t="s">
        <v>919</v>
      </c>
      <c r="B142" s="37" t="s">
        <v>920</v>
      </c>
      <c r="C142" s="37" t="s">
        <v>813</v>
      </c>
      <c r="D142" s="37" t="s">
        <v>148</v>
      </c>
      <c r="E142" s="38" t="s">
        <v>88</v>
      </c>
      <c r="F142" s="37" t="s">
        <v>210</v>
      </c>
      <c r="G142" s="37" t="s">
        <v>619</v>
      </c>
      <c r="H142" s="42" t="s">
        <v>85</v>
      </c>
      <c r="I142" s="37" t="s">
        <v>149</v>
      </c>
      <c r="J142" s="37" t="s">
        <v>920</v>
      </c>
      <c r="K142" s="37" t="s">
        <v>814</v>
      </c>
      <c r="L142" s="37" t="s">
        <v>246</v>
      </c>
      <c r="M142" s="37" t="s">
        <v>921</v>
      </c>
    </row>
    <row r="143" customFormat="false" ht="23.85" hidden="false" customHeight="false" outlineLevel="0" collapsed="false">
      <c r="A143" s="37" t="s">
        <v>922</v>
      </c>
      <c r="B143" s="37" t="s">
        <v>923</v>
      </c>
      <c r="C143" s="37" t="s">
        <v>813</v>
      </c>
      <c r="D143" s="37" t="s">
        <v>168</v>
      </c>
      <c r="E143" s="38" t="s">
        <v>90</v>
      </c>
      <c r="F143" s="37" t="s">
        <v>251</v>
      </c>
      <c r="G143" s="37" t="s">
        <v>103</v>
      </c>
      <c r="H143" s="42" t="s">
        <v>85</v>
      </c>
      <c r="I143" s="37" t="s">
        <v>727</v>
      </c>
      <c r="J143" s="37" t="s">
        <v>923</v>
      </c>
      <c r="K143" s="37" t="s">
        <v>814</v>
      </c>
      <c r="L143" s="37" t="s">
        <v>811</v>
      </c>
      <c r="M143" s="37" t="s">
        <v>924</v>
      </c>
    </row>
    <row r="144" customFormat="false" ht="23.85" hidden="false" customHeight="false" outlineLevel="0" collapsed="false">
      <c r="A144" s="37" t="s">
        <v>925</v>
      </c>
      <c r="B144" s="37" t="s">
        <v>926</v>
      </c>
      <c r="C144" s="37" t="s">
        <v>813</v>
      </c>
      <c r="D144" s="37" t="s">
        <v>156</v>
      </c>
      <c r="E144" s="38" t="s">
        <v>90</v>
      </c>
      <c r="F144" s="37" t="s">
        <v>251</v>
      </c>
      <c r="G144" s="37" t="s">
        <v>103</v>
      </c>
      <c r="H144" s="42" t="s">
        <v>85</v>
      </c>
      <c r="I144" s="37" t="s">
        <v>149</v>
      </c>
      <c r="J144" s="37" t="s">
        <v>926</v>
      </c>
      <c r="K144" s="37" t="s">
        <v>814</v>
      </c>
      <c r="L144" s="37" t="s">
        <v>246</v>
      </c>
      <c r="M144" s="37" t="s">
        <v>927</v>
      </c>
    </row>
    <row r="145" customFormat="false" ht="23.85" hidden="false" customHeight="false" outlineLevel="0" collapsed="false">
      <c r="A145" s="37" t="s">
        <v>928</v>
      </c>
      <c r="B145" s="37" t="s">
        <v>929</v>
      </c>
      <c r="C145" s="37" t="s">
        <v>813</v>
      </c>
      <c r="D145" s="37" t="s">
        <v>930</v>
      </c>
      <c r="E145" s="38" t="s">
        <v>90</v>
      </c>
      <c r="F145" s="37" t="s">
        <v>251</v>
      </c>
      <c r="G145" s="37" t="s">
        <v>100</v>
      </c>
      <c r="H145" s="42" t="s">
        <v>85</v>
      </c>
      <c r="I145" s="37" t="s">
        <v>149</v>
      </c>
      <c r="J145" s="37" t="s">
        <v>929</v>
      </c>
      <c r="K145" s="37" t="s">
        <v>814</v>
      </c>
      <c r="L145" s="37" t="s">
        <v>246</v>
      </c>
      <c r="M145" s="37" t="s">
        <v>931</v>
      </c>
    </row>
    <row r="146" customFormat="false" ht="23.85" hidden="false" customHeight="false" outlineLevel="0" collapsed="false">
      <c r="A146" s="37" t="s">
        <v>932</v>
      </c>
      <c r="B146" s="37" t="s">
        <v>933</v>
      </c>
      <c r="C146" s="37" t="s">
        <v>813</v>
      </c>
      <c r="D146" s="37" t="s">
        <v>934</v>
      </c>
      <c r="E146" s="38" t="s">
        <v>90</v>
      </c>
      <c r="F146" s="37" t="s">
        <v>251</v>
      </c>
      <c r="G146" s="37" t="s">
        <v>710</v>
      </c>
      <c r="H146" s="42" t="s">
        <v>85</v>
      </c>
      <c r="I146" s="37" t="s">
        <v>149</v>
      </c>
      <c r="J146" s="37" t="s">
        <v>933</v>
      </c>
      <c r="K146" s="37" t="s">
        <v>814</v>
      </c>
      <c r="L146" s="37" t="s">
        <v>246</v>
      </c>
      <c r="M146" s="37" t="s">
        <v>935</v>
      </c>
    </row>
    <row r="147" customFormat="false" ht="35.05" hidden="false" customHeight="false" outlineLevel="0" collapsed="false">
      <c r="A147" s="37" t="s">
        <v>936</v>
      </c>
      <c r="B147" s="37" t="s">
        <v>937</v>
      </c>
      <c r="C147" s="37" t="s">
        <v>813</v>
      </c>
      <c r="D147" s="37" t="s">
        <v>242</v>
      </c>
      <c r="E147" s="38" t="s">
        <v>90</v>
      </c>
      <c r="F147" s="37" t="s">
        <v>210</v>
      </c>
      <c r="G147" s="37" t="s">
        <v>97</v>
      </c>
      <c r="H147" s="42" t="s">
        <v>85</v>
      </c>
      <c r="I147" s="37" t="s">
        <v>149</v>
      </c>
      <c r="J147" s="37" t="s">
        <v>937</v>
      </c>
      <c r="K147" s="37" t="s">
        <v>814</v>
      </c>
      <c r="L147" s="37" t="s">
        <v>246</v>
      </c>
      <c r="M147" s="37" t="s">
        <v>938</v>
      </c>
    </row>
    <row r="148" customFormat="false" ht="23.85" hidden="false" customHeight="false" outlineLevel="0" collapsed="false">
      <c r="A148" s="37" t="s">
        <v>939</v>
      </c>
      <c r="B148" s="37" t="s">
        <v>940</v>
      </c>
      <c r="C148" s="37" t="s">
        <v>813</v>
      </c>
      <c r="D148" s="37" t="s">
        <v>242</v>
      </c>
      <c r="E148" s="38" t="s">
        <v>90</v>
      </c>
      <c r="F148" s="37" t="s">
        <v>210</v>
      </c>
      <c r="G148" s="37" t="s">
        <v>56</v>
      </c>
      <c r="H148" s="42" t="s">
        <v>85</v>
      </c>
      <c r="I148" s="37" t="s">
        <v>149</v>
      </c>
      <c r="J148" s="37" t="s">
        <v>940</v>
      </c>
      <c r="K148" s="37" t="s">
        <v>814</v>
      </c>
      <c r="L148" s="37" t="s">
        <v>246</v>
      </c>
      <c r="M148" s="37" t="s">
        <v>941</v>
      </c>
    </row>
    <row r="149" customFormat="false" ht="15" hidden="false" customHeight="false" outlineLevel="0" collapsed="false">
      <c r="A149" s="37" t="s">
        <v>942</v>
      </c>
      <c r="B149" s="37" t="s">
        <v>943</v>
      </c>
      <c r="C149" s="37" t="s">
        <v>813</v>
      </c>
      <c r="D149" s="37" t="s">
        <v>868</v>
      </c>
      <c r="E149" s="38" t="s">
        <v>90</v>
      </c>
      <c r="F149" s="37" t="s">
        <v>210</v>
      </c>
      <c r="G149" s="37" t="s">
        <v>944</v>
      </c>
      <c r="H149" s="42" t="s">
        <v>85</v>
      </c>
      <c r="I149" s="37" t="s">
        <v>727</v>
      </c>
      <c r="J149" s="37" t="s">
        <v>943</v>
      </c>
      <c r="K149" s="37" t="s">
        <v>814</v>
      </c>
      <c r="L149" s="37" t="s">
        <v>891</v>
      </c>
      <c r="M149" s="37" t="s">
        <v>945</v>
      </c>
    </row>
    <row r="150" customFormat="false" ht="15" hidden="false" customHeight="false" outlineLevel="0" collapsed="false">
      <c r="A150" s="37" t="s">
        <v>946</v>
      </c>
      <c r="B150" s="37" t="s">
        <v>947</v>
      </c>
      <c r="C150" s="37" t="s">
        <v>813</v>
      </c>
      <c r="D150" s="37" t="s">
        <v>868</v>
      </c>
      <c r="E150" s="38" t="s">
        <v>90</v>
      </c>
      <c r="F150" s="37" t="s">
        <v>190</v>
      </c>
      <c r="G150" s="37" t="s">
        <v>710</v>
      </c>
      <c r="H150" s="42" t="s">
        <v>85</v>
      </c>
      <c r="I150" s="37" t="s">
        <v>149</v>
      </c>
      <c r="J150" s="37" t="s">
        <v>947</v>
      </c>
      <c r="K150" s="37" t="s">
        <v>814</v>
      </c>
      <c r="L150" s="37" t="s">
        <v>246</v>
      </c>
      <c r="M150" s="37" t="s">
        <v>948</v>
      </c>
    </row>
    <row r="151" customFormat="false" ht="15" hidden="false" customHeight="false" outlineLevel="0" collapsed="false">
      <c r="A151" s="37" t="s">
        <v>949</v>
      </c>
      <c r="B151" s="37" t="s">
        <v>950</v>
      </c>
      <c r="C151" s="37" t="s">
        <v>813</v>
      </c>
      <c r="D151" s="37" t="s">
        <v>181</v>
      </c>
      <c r="E151" s="38" t="s">
        <v>90</v>
      </c>
      <c r="F151" s="37" t="s">
        <v>210</v>
      </c>
      <c r="G151" s="37" t="s">
        <v>60</v>
      </c>
      <c r="H151" s="42" t="s">
        <v>85</v>
      </c>
      <c r="I151" s="37" t="s">
        <v>727</v>
      </c>
      <c r="J151" s="37" t="s">
        <v>950</v>
      </c>
      <c r="K151" s="37" t="s">
        <v>814</v>
      </c>
      <c r="L151" s="37" t="s">
        <v>856</v>
      </c>
      <c r="M151" s="37" t="s">
        <v>951</v>
      </c>
    </row>
  </sheetData>
  <autoFilter ref="A1:M9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M6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14843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36" t="s">
        <v>136</v>
      </c>
      <c r="B1" s="36" t="s">
        <v>137</v>
      </c>
      <c r="C1" s="36" t="s">
        <v>138</v>
      </c>
      <c r="D1" s="36" t="s">
        <v>139</v>
      </c>
      <c r="E1" s="36" t="s">
        <v>82</v>
      </c>
      <c r="F1" s="36" t="s">
        <v>44</v>
      </c>
      <c r="G1" s="36" t="s">
        <v>140</v>
      </c>
      <c r="H1" s="36" t="s">
        <v>3</v>
      </c>
      <c r="I1" s="36" t="s">
        <v>141</v>
      </c>
      <c r="J1" s="36" t="s">
        <v>185</v>
      </c>
      <c r="K1" s="36" t="s">
        <v>142</v>
      </c>
      <c r="L1" s="36" t="s">
        <v>143</v>
      </c>
      <c r="M1" s="36" t="s">
        <v>186</v>
      </c>
    </row>
    <row r="2" customFormat="false" ht="135.75" hidden="false" customHeight="true" outlineLevel="0" collapsed="false">
      <c r="A2" s="37" t="s">
        <v>248</v>
      </c>
      <c r="B2" s="37" t="s">
        <v>249</v>
      </c>
      <c r="C2" s="37" t="s">
        <v>250</v>
      </c>
      <c r="D2" s="37" t="s">
        <v>156</v>
      </c>
      <c r="E2" s="38" t="s">
        <v>86</v>
      </c>
      <c r="F2" s="37" t="s">
        <v>251</v>
      </c>
      <c r="G2" s="37" t="s">
        <v>97</v>
      </c>
      <c r="H2" s="40" t="s">
        <v>83</v>
      </c>
      <c r="I2" s="37" t="s">
        <v>149</v>
      </c>
      <c r="J2" s="37" t="s">
        <v>252</v>
      </c>
      <c r="K2" s="37" t="s">
        <v>253</v>
      </c>
      <c r="L2" s="37" t="s">
        <v>254</v>
      </c>
      <c r="M2" s="37" t="s">
        <v>255</v>
      </c>
    </row>
    <row r="3" customFormat="false" ht="135.75" hidden="false" customHeight="true" outlineLevel="0" collapsed="false">
      <c r="A3" s="37" t="s">
        <v>313</v>
      </c>
      <c r="B3" s="37" t="s">
        <v>314</v>
      </c>
      <c r="C3" s="37" t="s">
        <v>250</v>
      </c>
      <c r="D3" s="37" t="s">
        <v>148</v>
      </c>
      <c r="E3" s="38" t="s">
        <v>86</v>
      </c>
      <c r="F3" s="37" t="s">
        <v>210</v>
      </c>
      <c r="G3" s="37" t="s">
        <v>97</v>
      </c>
      <c r="H3" s="40" t="s">
        <v>85</v>
      </c>
      <c r="I3" s="37" t="s">
        <v>149</v>
      </c>
      <c r="J3" s="37" t="s">
        <v>315</v>
      </c>
      <c r="K3" s="37" t="s">
        <v>316</v>
      </c>
      <c r="L3" s="37" t="s">
        <v>317</v>
      </c>
      <c r="M3" s="37" t="s">
        <v>318</v>
      </c>
    </row>
    <row r="4" customFormat="false" ht="135.75" hidden="false" customHeight="true" outlineLevel="0" collapsed="false">
      <c r="A4" s="37" t="s">
        <v>367</v>
      </c>
      <c r="B4" s="37" t="s">
        <v>368</v>
      </c>
      <c r="C4" s="37" t="s">
        <v>250</v>
      </c>
      <c r="D4" s="37" t="s">
        <v>242</v>
      </c>
      <c r="E4" s="38" t="s">
        <v>86</v>
      </c>
      <c r="F4" s="37" t="s">
        <v>251</v>
      </c>
      <c r="G4" s="37" t="s">
        <v>97</v>
      </c>
      <c r="H4" s="40" t="s">
        <v>83</v>
      </c>
      <c r="I4" s="37" t="s">
        <v>149</v>
      </c>
      <c r="J4" s="37" t="s">
        <v>369</v>
      </c>
      <c r="K4" s="37" t="s">
        <v>370</v>
      </c>
      <c r="L4" s="37" t="s">
        <v>246</v>
      </c>
      <c r="M4" s="37" t="s">
        <v>371</v>
      </c>
    </row>
    <row r="5" customFormat="false" ht="147" hidden="false" customHeight="true" outlineLevel="0" collapsed="false">
      <c r="A5" s="37" t="s">
        <v>385</v>
      </c>
      <c r="B5" s="37" t="s">
        <v>386</v>
      </c>
      <c r="C5" s="37" t="s">
        <v>250</v>
      </c>
      <c r="D5" s="37" t="s">
        <v>242</v>
      </c>
      <c r="E5" s="38" t="s">
        <v>86</v>
      </c>
      <c r="F5" s="37" t="s">
        <v>251</v>
      </c>
      <c r="G5" s="37" t="s">
        <v>97</v>
      </c>
      <c r="H5" s="40" t="s">
        <v>85</v>
      </c>
      <c r="I5" s="37" t="s">
        <v>149</v>
      </c>
      <c r="J5" s="37" t="s">
        <v>387</v>
      </c>
      <c r="K5" s="37" t="s">
        <v>388</v>
      </c>
      <c r="L5" s="37" t="s">
        <v>389</v>
      </c>
      <c r="M5" s="37" t="s">
        <v>390</v>
      </c>
    </row>
    <row r="6" customFormat="false" ht="147" hidden="false" customHeight="true" outlineLevel="0" collapsed="false">
      <c r="A6" s="37" t="s">
        <v>444</v>
      </c>
      <c r="B6" s="37" t="s">
        <v>445</v>
      </c>
      <c r="C6" s="37" t="s">
        <v>250</v>
      </c>
      <c r="D6" s="37" t="s">
        <v>156</v>
      </c>
      <c r="E6" s="38" t="s">
        <v>86</v>
      </c>
      <c r="F6" s="37" t="s">
        <v>210</v>
      </c>
      <c r="G6" s="37" t="s">
        <v>97</v>
      </c>
      <c r="H6" s="40" t="s">
        <v>83</v>
      </c>
      <c r="I6" s="37" t="s">
        <v>149</v>
      </c>
      <c r="J6" s="37" t="s">
        <v>446</v>
      </c>
      <c r="K6" s="37" t="s">
        <v>447</v>
      </c>
      <c r="L6" s="37" t="s">
        <v>246</v>
      </c>
      <c r="M6" s="37" t="s">
        <v>448</v>
      </c>
    </row>
    <row r="7" customFormat="false" ht="135.75" hidden="false" customHeight="true" outlineLevel="0" collapsed="false">
      <c r="A7" s="37" t="s">
        <v>161</v>
      </c>
      <c r="B7" s="37" t="s">
        <v>469</v>
      </c>
      <c r="C7" s="37" t="s">
        <v>250</v>
      </c>
      <c r="D7" s="37" t="s">
        <v>156</v>
      </c>
      <c r="E7" s="41" t="s">
        <v>88</v>
      </c>
      <c r="F7" s="37" t="s">
        <v>210</v>
      </c>
      <c r="G7" s="37" t="s">
        <v>97</v>
      </c>
      <c r="H7" s="40" t="s">
        <v>83</v>
      </c>
      <c r="I7" s="37" t="s">
        <v>149</v>
      </c>
      <c r="J7" s="37" t="s">
        <v>470</v>
      </c>
      <c r="K7" s="37" t="s">
        <v>471</v>
      </c>
      <c r="L7" s="37" t="s">
        <v>472</v>
      </c>
      <c r="M7" s="37" t="s">
        <v>473</v>
      </c>
    </row>
    <row r="8" customFormat="false" ht="113.25" hidden="false" customHeight="true" outlineLevel="0" collapsed="false">
      <c r="A8" s="37" t="s">
        <v>482</v>
      </c>
      <c r="B8" s="37" t="s">
        <v>483</v>
      </c>
      <c r="C8" s="37" t="s">
        <v>250</v>
      </c>
      <c r="D8" s="37" t="s">
        <v>242</v>
      </c>
      <c r="E8" s="41" t="s">
        <v>88</v>
      </c>
      <c r="F8" s="37" t="s">
        <v>243</v>
      </c>
      <c r="G8" s="37" t="s">
        <v>97</v>
      </c>
      <c r="H8" s="40" t="s">
        <v>85</v>
      </c>
      <c r="I8" s="37" t="s">
        <v>149</v>
      </c>
      <c r="J8" s="37" t="s">
        <v>484</v>
      </c>
      <c r="K8" s="37" t="s">
        <v>485</v>
      </c>
      <c r="L8" s="37" t="s">
        <v>246</v>
      </c>
      <c r="M8" s="37" t="s">
        <v>486</v>
      </c>
    </row>
    <row r="9" customFormat="false" ht="168.75" hidden="false" customHeight="true" outlineLevel="0" collapsed="false">
      <c r="A9" s="37" t="s">
        <v>487</v>
      </c>
      <c r="B9" s="37" t="s">
        <v>488</v>
      </c>
      <c r="C9" s="37" t="s">
        <v>419</v>
      </c>
      <c r="D9" s="37" t="s">
        <v>168</v>
      </c>
      <c r="E9" s="38" t="s">
        <v>86</v>
      </c>
      <c r="F9" s="37" t="s">
        <v>210</v>
      </c>
      <c r="G9" s="37" t="s">
        <v>97</v>
      </c>
      <c r="H9" s="40" t="s">
        <v>85</v>
      </c>
      <c r="I9" s="37" t="s">
        <v>149</v>
      </c>
      <c r="J9" s="37" t="s">
        <v>489</v>
      </c>
      <c r="K9" s="37" t="s">
        <v>490</v>
      </c>
      <c r="L9" s="37" t="s">
        <v>491</v>
      </c>
      <c r="M9" s="37" t="s">
        <v>492</v>
      </c>
    </row>
    <row r="10" customFormat="false" ht="147" hidden="true" customHeight="true" outlineLevel="0" collapsed="false">
      <c r="A10" s="37" t="s">
        <v>187</v>
      </c>
      <c r="B10" s="37" t="s">
        <v>188</v>
      </c>
      <c r="C10" s="37" t="s">
        <v>189</v>
      </c>
      <c r="D10" s="37" t="s">
        <v>148</v>
      </c>
      <c r="E10" s="38" t="s">
        <v>86</v>
      </c>
      <c r="F10" s="37" t="s">
        <v>190</v>
      </c>
      <c r="G10" s="37" t="s">
        <v>56</v>
      </c>
      <c r="H10" s="39" t="s">
        <v>191</v>
      </c>
      <c r="I10" s="37" t="s">
        <v>149</v>
      </c>
      <c r="J10" s="37" t="s">
        <v>192</v>
      </c>
      <c r="K10" s="37" t="s">
        <v>193</v>
      </c>
      <c r="L10" s="37" t="s">
        <v>194</v>
      </c>
      <c r="M10" s="37" t="s">
        <v>195</v>
      </c>
    </row>
    <row r="11" customFormat="false" ht="113.25" hidden="true" customHeight="true" outlineLevel="0" collapsed="false">
      <c r="A11" s="37" t="s">
        <v>196</v>
      </c>
      <c r="B11" s="37" t="s">
        <v>197</v>
      </c>
      <c r="C11" s="37" t="s">
        <v>189</v>
      </c>
      <c r="D11" s="37" t="s">
        <v>148</v>
      </c>
      <c r="E11" s="38" t="s">
        <v>86</v>
      </c>
      <c r="F11" s="37" t="s">
        <v>190</v>
      </c>
      <c r="G11" s="37" t="s">
        <v>56</v>
      </c>
      <c r="H11" s="39" t="s">
        <v>191</v>
      </c>
      <c r="I11" s="37" t="s">
        <v>149</v>
      </c>
      <c r="J11" s="37" t="s">
        <v>198</v>
      </c>
      <c r="K11" s="37" t="s">
        <v>199</v>
      </c>
      <c r="L11" s="37" t="s">
        <v>200</v>
      </c>
      <c r="M11" s="37" t="s">
        <v>201</v>
      </c>
    </row>
    <row r="12" customFormat="false" ht="147" hidden="false" customHeight="true" outlineLevel="0" collapsed="false">
      <c r="A12" s="37" t="s">
        <v>208</v>
      </c>
      <c r="B12" s="37" t="s">
        <v>209</v>
      </c>
      <c r="C12" s="37" t="s">
        <v>189</v>
      </c>
      <c r="D12" s="37" t="s">
        <v>148</v>
      </c>
      <c r="E12" s="38" t="s">
        <v>86</v>
      </c>
      <c r="F12" s="37" t="s">
        <v>210</v>
      </c>
      <c r="G12" s="37" t="s">
        <v>56</v>
      </c>
      <c r="H12" s="40" t="s">
        <v>85</v>
      </c>
      <c r="I12" s="37" t="s">
        <v>149</v>
      </c>
      <c r="J12" s="37" t="s">
        <v>211</v>
      </c>
      <c r="K12" s="37" t="s">
        <v>212</v>
      </c>
      <c r="L12" s="37" t="s">
        <v>213</v>
      </c>
      <c r="M12" s="37" t="s">
        <v>214</v>
      </c>
    </row>
    <row r="13" customFormat="false" ht="102" hidden="false" customHeight="true" outlineLevel="0" collapsed="false">
      <c r="A13" s="37" t="s">
        <v>215</v>
      </c>
      <c r="B13" s="37" t="s">
        <v>216</v>
      </c>
      <c r="C13" s="37" t="s">
        <v>189</v>
      </c>
      <c r="D13" s="37" t="s">
        <v>148</v>
      </c>
      <c r="E13" s="38" t="s">
        <v>86</v>
      </c>
      <c r="F13" s="37" t="s">
        <v>210</v>
      </c>
      <c r="G13" s="37" t="s">
        <v>56</v>
      </c>
      <c r="H13" s="40" t="s">
        <v>85</v>
      </c>
      <c r="I13" s="37" t="s">
        <v>149</v>
      </c>
      <c r="J13" s="37" t="s">
        <v>217</v>
      </c>
      <c r="K13" s="37" t="s">
        <v>218</v>
      </c>
      <c r="L13" s="37" t="s">
        <v>219</v>
      </c>
      <c r="M13" s="37" t="s">
        <v>220</v>
      </c>
    </row>
    <row r="14" customFormat="false" ht="135.75" hidden="false" customHeight="true" outlineLevel="0" collapsed="false">
      <c r="A14" s="37" t="s">
        <v>228</v>
      </c>
      <c r="B14" s="37" t="s">
        <v>229</v>
      </c>
      <c r="C14" s="37" t="s">
        <v>189</v>
      </c>
      <c r="D14" s="37" t="s">
        <v>148</v>
      </c>
      <c r="E14" s="38" t="s">
        <v>86</v>
      </c>
      <c r="F14" s="37" t="s">
        <v>210</v>
      </c>
      <c r="G14" s="37" t="s">
        <v>56</v>
      </c>
      <c r="H14" s="40" t="s">
        <v>85</v>
      </c>
      <c r="I14" s="37" t="s">
        <v>149</v>
      </c>
      <c r="J14" s="37" t="s">
        <v>230</v>
      </c>
      <c r="K14" s="37" t="s">
        <v>231</v>
      </c>
      <c r="L14" s="37" t="s">
        <v>232</v>
      </c>
      <c r="M14" s="37" t="s">
        <v>233</v>
      </c>
    </row>
    <row r="15" customFormat="false" ht="90.75" hidden="false" customHeight="true" outlineLevel="0" collapsed="false">
      <c r="A15" s="37" t="s">
        <v>240</v>
      </c>
      <c r="B15" s="37" t="s">
        <v>241</v>
      </c>
      <c r="C15" s="37" t="s">
        <v>189</v>
      </c>
      <c r="D15" s="37" t="s">
        <v>242</v>
      </c>
      <c r="E15" s="38" t="s">
        <v>86</v>
      </c>
      <c r="F15" s="37" t="s">
        <v>243</v>
      </c>
      <c r="G15" s="37" t="s">
        <v>56</v>
      </c>
      <c r="H15" s="40" t="s">
        <v>85</v>
      </c>
      <c r="I15" s="37" t="s">
        <v>149</v>
      </c>
      <c r="J15" s="37" t="s">
        <v>244</v>
      </c>
      <c r="K15" s="37" t="s">
        <v>245</v>
      </c>
      <c r="L15" s="37" t="s">
        <v>246</v>
      </c>
      <c r="M15" s="37" t="s">
        <v>247</v>
      </c>
    </row>
    <row r="16" customFormat="false" ht="157.5" hidden="true" customHeight="true" outlineLevel="0" collapsed="false">
      <c r="A16" s="37" t="s">
        <v>354</v>
      </c>
      <c r="B16" s="37" t="s">
        <v>355</v>
      </c>
      <c r="C16" s="37" t="s">
        <v>189</v>
      </c>
      <c r="D16" s="37" t="s">
        <v>356</v>
      </c>
      <c r="E16" s="38" t="s">
        <v>86</v>
      </c>
      <c r="F16" s="37" t="s">
        <v>210</v>
      </c>
      <c r="G16" s="37" t="s">
        <v>56</v>
      </c>
      <c r="H16" s="39" t="s">
        <v>191</v>
      </c>
      <c r="I16" s="37" t="s">
        <v>149</v>
      </c>
      <c r="J16" s="37" t="s">
        <v>357</v>
      </c>
      <c r="K16" s="37" t="s">
        <v>358</v>
      </c>
      <c r="L16" s="37" t="s">
        <v>359</v>
      </c>
      <c r="M16" s="37" t="s">
        <v>360</v>
      </c>
    </row>
    <row r="17" customFormat="false" ht="147" hidden="true" customHeight="true" outlineLevel="0" collapsed="false">
      <c r="A17" s="37" t="s">
        <v>361</v>
      </c>
      <c r="B17" s="37" t="s">
        <v>362</v>
      </c>
      <c r="C17" s="37" t="s">
        <v>250</v>
      </c>
      <c r="D17" s="37" t="s">
        <v>168</v>
      </c>
      <c r="E17" s="38" t="s">
        <v>86</v>
      </c>
      <c r="F17" s="37" t="s">
        <v>251</v>
      </c>
      <c r="G17" s="37" t="s">
        <v>97</v>
      </c>
      <c r="H17" s="39" t="s">
        <v>191</v>
      </c>
      <c r="I17" s="37" t="s">
        <v>149</v>
      </c>
      <c r="J17" s="37" t="s">
        <v>363</v>
      </c>
      <c r="K17" s="37" t="s">
        <v>364</v>
      </c>
      <c r="L17" s="37" t="s">
        <v>365</v>
      </c>
      <c r="M17" s="37" t="s">
        <v>366</v>
      </c>
    </row>
    <row r="18" customFormat="false" ht="147" hidden="false" customHeight="true" outlineLevel="0" collapsed="false">
      <c r="A18" s="37" t="s">
        <v>391</v>
      </c>
      <c r="B18" s="37" t="s">
        <v>392</v>
      </c>
      <c r="C18" s="37" t="s">
        <v>189</v>
      </c>
      <c r="D18" s="37" t="s">
        <v>156</v>
      </c>
      <c r="E18" s="38" t="s">
        <v>86</v>
      </c>
      <c r="F18" s="37" t="s">
        <v>251</v>
      </c>
      <c r="G18" s="37" t="s">
        <v>56</v>
      </c>
      <c r="H18" s="40" t="s">
        <v>85</v>
      </c>
      <c r="I18" s="37" t="s">
        <v>149</v>
      </c>
      <c r="J18" s="37" t="s">
        <v>393</v>
      </c>
      <c r="K18" s="37" t="s">
        <v>394</v>
      </c>
      <c r="L18" s="37" t="s">
        <v>395</v>
      </c>
      <c r="M18" s="37" t="s">
        <v>396</v>
      </c>
    </row>
    <row r="19" customFormat="false" ht="135.75" hidden="false" customHeight="true" outlineLevel="0" collapsed="false">
      <c r="A19" s="37" t="s">
        <v>397</v>
      </c>
      <c r="B19" s="37" t="s">
        <v>398</v>
      </c>
      <c r="C19" s="37" t="s">
        <v>189</v>
      </c>
      <c r="D19" s="37" t="s">
        <v>156</v>
      </c>
      <c r="E19" s="38" t="s">
        <v>86</v>
      </c>
      <c r="F19" s="37" t="s">
        <v>251</v>
      </c>
      <c r="G19" s="37" t="s">
        <v>56</v>
      </c>
      <c r="H19" s="40" t="s">
        <v>85</v>
      </c>
      <c r="I19" s="37" t="s">
        <v>149</v>
      </c>
      <c r="J19" s="37" t="s">
        <v>399</v>
      </c>
      <c r="K19" s="37" t="s">
        <v>400</v>
      </c>
      <c r="L19" s="37" t="s">
        <v>401</v>
      </c>
      <c r="M19" s="37" t="s">
        <v>402</v>
      </c>
    </row>
    <row r="20" customFormat="false" ht="79.5" hidden="false" customHeight="true" outlineLevel="0" collapsed="false">
      <c r="A20" s="37" t="s">
        <v>403</v>
      </c>
      <c r="B20" s="37" t="s">
        <v>404</v>
      </c>
      <c r="C20" s="37" t="s">
        <v>189</v>
      </c>
      <c r="D20" s="37" t="s">
        <v>156</v>
      </c>
      <c r="E20" s="41" t="s">
        <v>88</v>
      </c>
      <c r="F20" s="37" t="s">
        <v>243</v>
      </c>
      <c r="G20" s="37" t="s">
        <v>56</v>
      </c>
      <c r="H20" s="40" t="s">
        <v>85</v>
      </c>
      <c r="I20" s="37" t="s">
        <v>149</v>
      </c>
      <c r="J20" s="37" t="s">
        <v>405</v>
      </c>
      <c r="K20" s="37" t="s">
        <v>406</v>
      </c>
      <c r="L20" s="37" t="s">
        <v>246</v>
      </c>
      <c r="M20" s="37" t="s">
        <v>407</v>
      </c>
    </row>
    <row r="21" customFormat="false" ht="113.25" hidden="false" customHeight="true" outlineLevel="0" collapsed="false">
      <c r="A21" s="37" t="s">
        <v>179</v>
      </c>
      <c r="B21" s="37" t="s">
        <v>283</v>
      </c>
      <c r="C21" s="37" t="s">
        <v>277</v>
      </c>
      <c r="D21" s="37" t="s">
        <v>148</v>
      </c>
      <c r="E21" s="38" t="s">
        <v>86</v>
      </c>
      <c r="F21" s="37" t="s">
        <v>251</v>
      </c>
      <c r="G21" s="37" t="s">
        <v>284</v>
      </c>
      <c r="H21" s="40" t="s">
        <v>83</v>
      </c>
      <c r="I21" s="37" t="s">
        <v>149</v>
      </c>
      <c r="J21" s="37" t="s">
        <v>285</v>
      </c>
      <c r="K21" s="37" t="s">
        <v>286</v>
      </c>
      <c r="L21" s="37" t="s">
        <v>287</v>
      </c>
      <c r="M21" s="37" t="s">
        <v>288</v>
      </c>
    </row>
    <row r="22" customFormat="false" ht="124.5" hidden="false" customHeight="true" outlineLevel="0" collapsed="false">
      <c r="A22" s="37" t="s">
        <v>301</v>
      </c>
      <c r="B22" s="37" t="s">
        <v>302</v>
      </c>
      <c r="C22" s="37" t="s">
        <v>277</v>
      </c>
      <c r="D22" s="37" t="s">
        <v>148</v>
      </c>
      <c r="E22" s="38" t="s">
        <v>86</v>
      </c>
      <c r="F22" s="37" t="s">
        <v>251</v>
      </c>
      <c r="G22" s="37" t="s">
        <v>284</v>
      </c>
      <c r="H22" s="40" t="s">
        <v>85</v>
      </c>
      <c r="I22" s="37" t="s">
        <v>149</v>
      </c>
      <c r="J22" s="37" t="s">
        <v>303</v>
      </c>
      <c r="K22" s="37" t="s">
        <v>304</v>
      </c>
      <c r="L22" s="37" t="s">
        <v>305</v>
      </c>
      <c r="M22" s="37" t="s">
        <v>306</v>
      </c>
    </row>
    <row r="23" customFormat="false" ht="147" hidden="false" customHeight="true" outlineLevel="0" collapsed="false">
      <c r="A23" s="37" t="s">
        <v>319</v>
      </c>
      <c r="B23" s="37" t="s">
        <v>320</v>
      </c>
      <c r="C23" s="37" t="s">
        <v>277</v>
      </c>
      <c r="D23" s="37" t="s">
        <v>148</v>
      </c>
      <c r="E23" s="38" t="s">
        <v>86</v>
      </c>
      <c r="F23" s="37" t="s">
        <v>251</v>
      </c>
      <c r="G23" s="37" t="s">
        <v>284</v>
      </c>
      <c r="H23" s="40" t="s">
        <v>85</v>
      </c>
      <c r="I23" s="37" t="s">
        <v>149</v>
      </c>
      <c r="J23" s="37" t="s">
        <v>321</v>
      </c>
      <c r="K23" s="37" t="s">
        <v>322</v>
      </c>
      <c r="L23" s="37" t="s">
        <v>323</v>
      </c>
      <c r="M23" s="37" t="s">
        <v>324</v>
      </c>
    </row>
    <row r="24" customFormat="false" ht="113.25" hidden="false" customHeight="true" outlineLevel="0" collapsed="false">
      <c r="A24" s="37" t="s">
        <v>474</v>
      </c>
      <c r="B24" s="37" t="s">
        <v>475</v>
      </c>
      <c r="C24" s="37" t="s">
        <v>476</v>
      </c>
      <c r="D24" s="37" t="s">
        <v>168</v>
      </c>
      <c r="E24" s="38" t="s">
        <v>86</v>
      </c>
      <c r="F24" s="37" t="s">
        <v>210</v>
      </c>
      <c r="G24" s="37" t="s">
        <v>477</v>
      </c>
      <c r="H24" s="40" t="s">
        <v>85</v>
      </c>
      <c r="I24" s="37" t="s">
        <v>149</v>
      </c>
      <c r="J24" s="37" t="s">
        <v>478</v>
      </c>
      <c r="K24" s="37" t="s">
        <v>479</v>
      </c>
      <c r="L24" s="37" t="s">
        <v>480</v>
      </c>
      <c r="M24" s="37" t="s">
        <v>481</v>
      </c>
    </row>
    <row r="25" customFormat="false" ht="124.5" hidden="false" customHeight="true" outlineLevel="0" collapsed="false">
      <c r="A25" s="37" t="s">
        <v>275</v>
      </c>
      <c r="B25" s="37" t="s">
        <v>276</v>
      </c>
      <c r="C25" s="37" t="s">
        <v>277</v>
      </c>
      <c r="D25" s="37" t="s">
        <v>148</v>
      </c>
      <c r="E25" s="38" t="s">
        <v>86</v>
      </c>
      <c r="F25" s="37" t="s">
        <v>210</v>
      </c>
      <c r="G25" s="37" t="s">
        <v>278</v>
      </c>
      <c r="H25" s="40" t="s">
        <v>85</v>
      </c>
      <c r="I25" s="37" t="s">
        <v>149</v>
      </c>
      <c r="J25" s="37" t="s">
        <v>279</v>
      </c>
      <c r="K25" s="37" t="s">
        <v>280</v>
      </c>
      <c r="L25" s="37" t="s">
        <v>281</v>
      </c>
      <c r="M25" s="37" t="s">
        <v>282</v>
      </c>
    </row>
    <row r="26" customFormat="false" ht="147" hidden="false" customHeight="true" outlineLevel="0" collapsed="false">
      <c r="A26" s="37" t="s">
        <v>307</v>
      </c>
      <c r="B26" s="37" t="s">
        <v>308</v>
      </c>
      <c r="C26" s="37" t="s">
        <v>277</v>
      </c>
      <c r="D26" s="37" t="s">
        <v>148</v>
      </c>
      <c r="E26" s="38" t="s">
        <v>86</v>
      </c>
      <c r="F26" s="37" t="s">
        <v>210</v>
      </c>
      <c r="G26" s="37" t="s">
        <v>278</v>
      </c>
      <c r="H26" s="40" t="s">
        <v>85</v>
      </c>
      <c r="I26" s="37" t="s">
        <v>149</v>
      </c>
      <c r="J26" s="37" t="s">
        <v>309</v>
      </c>
      <c r="K26" s="37" t="s">
        <v>310</v>
      </c>
      <c r="L26" s="37" t="s">
        <v>311</v>
      </c>
      <c r="M26" s="37" t="s">
        <v>312</v>
      </c>
    </row>
    <row r="27" customFormat="false" ht="135.75" hidden="false" customHeight="true" outlineLevel="0" collapsed="false">
      <c r="A27" s="37" t="s">
        <v>463</v>
      </c>
      <c r="B27" s="37" t="s">
        <v>464</v>
      </c>
      <c r="C27" s="37" t="s">
        <v>250</v>
      </c>
      <c r="D27" s="37" t="s">
        <v>148</v>
      </c>
      <c r="E27" s="38" t="s">
        <v>86</v>
      </c>
      <c r="F27" s="37" t="s">
        <v>210</v>
      </c>
      <c r="G27" s="37" t="s">
        <v>278</v>
      </c>
      <c r="H27" s="40" t="s">
        <v>85</v>
      </c>
      <c r="I27" s="37" t="s">
        <v>149</v>
      </c>
      <c r="J27" s="37" t="s">
        <v>465</v>
      </c>
      <c r="K27" s="37" t="s">
        <v>466</v>
      </c>
      <c r="L27" s="37" t="s">
        <v>467</v>
      </c>
      <c r="M27" s="37" t="s">
        <v>468</v>
      </c>
    </row>
    <row r="28" customFormat="false" ht="191.25" hidden="false" customHeight="true" outlineLevel="0" collapsed="false">
      <c r="A28" s="37" t="s">
        <v>202</v>
      </c>
      <c r="B28" s="37" t="s">
        <v>203</v>
      </c>
      <c r="C28" s="37" t="s">
        <v>189</v>
      </c>
      <c r="D28" s="37" t="s">
        <v>148</v>
      </c>
      <c r="E28" s="38" t="s">
        <v>86</v>
      </c>
      <c r="F28" s="37" t="s">
        <v>190</v>
      </c>
      <c r="G28" s="37" t="s">
        <v>157</v>
      </c>
      <c r="H28" s="40" t="s">
        <v>85</v>
      </c>
      <c r="I28" s="37" t="s">
        <v>149</v>
      </c>
      <c r="J28" s="37" t="s">
        <v>204</v>
      </c>
      <c r="K28" s="37" t="s">
        <v>205</v>
      </c>
      <c r="L28" s="37" t="s">
        <v>206</v>
      </c>
      <c r="M28" s="37" t="s">
        <v>207</v>
      </c>
    </row>
    <row r="29" customFormat="false" ht="147" hidden="false" customHeight="true" outlineLevel="0" collapsed="false">
      <c r="A29" s="37" t="s">
        <v>289</v>
      </c>
      <c r="B29" s="37" t="s">
        <v>290</v>
      </c>
      <c r="C29" s="37" t="s">
        <v>250</v>
      </c>
      <c r="D29" s="37" t="s">
        <v>156</v>
      </c>
      <c r="E29" s="38" t="s">
        <v>86</v>
      </c>
      <c r="F29" s="37" t="s">
        <v>210</v>
      </c>
      <c r="G29" s="37" t="s">
        <v>157</v>
      </c>
      <c r="H29" s="40" t="s">
        <v>85</v>
      </c>
      <c r="I29" s="37" t="s">
        <v>149</v>
      </c>
      <c r="J29" s="37" t="s">
        <v>291</v>
      </c>
      <c r="K29" s="37" t="s">
        <v>292</v>
      </c>
      <c r="L29" s="37" t="s">
        <v>293</v>
      </c>
      <c r="M29" s="37" t="s">
        <v>294</v>
      </c>
    </row>
    <row r="30" customFormat="false" ht="168.75" hidden="false" customHeight="true" outlineLevel="0" collapsed="false">
      <c r="A30" s="37" t="s">
        <v>154</v>
      </c>
      <c r="B30" s="37" t="s">
        <v>380</v>
      </c>
      <c r="C30" s="37" t="s">
        <v>250</v>
      </c>
      <c r="D30" s="37" t="s">
        <v>156</v>
      </c>
      <c r="E30" s="38" t="s">
        <v>86</v>
      </c>
      <c r="F30" s="37" t="s">
        <v>190</v>
      </c>
      <c r="G30" s="37" t="s">
        <v>157</v>
      </c>
      <c r="H30" s="40" t="s">
        <v>83</v>
      </c>
      <c r="I30" s="37" t="s">
        <v>149</v>
      </c>
      <c r="J30" s="37" t="s">
        <v>381</v>
      </c>
      <c r="K30" s="37" t="s">
        <v>382</v>
      </c>
      <c r="L30" s="37" t="s">
        <v>383</v>
      </c>
      <c r="M30" s="37" t="s">
        <v>384</v>
      </c>
    </row>
    <row r="31" customFormat="false" ht="147" hidden="false" customHeight="true" outlineLevel="0" collapsed="false">
      <c r="A31" s="37" t="s">
        <v>145</v>
      </c>
      <c r="B31" s="37" t="s">
        <v>234</v>
      </c>
      <c r="C31" s="37" t="s">
        <v>189</v>
      </c>
      <c r="D31" s="37" t="s">
        <v>148</v>
      </c>
      <c r="E31" s="38" t="s">
        <v>86</v>
      </c>
      <c r="F31" s="37" t="s">
        <v>210</v>
      </c>
      <c r="G31" s="37" t="s">
        <v>235</v>
      </c>
      <c r="H31" s="40" t="s">
        <v>83</v>
      </c>
      <c r="I31" s="37" t="s">
        <v>149</v>
      </c>
      <c r="J31" s="37" t="s">
        <v>236</v>
      </c>
      <c r="K31" s="37" t="s">
        <v>237</v>
      </c>
      <c r="L31" s="37" t="s">
        <v>238</v>
      </c>
      <c r="M31" s="37" t="s">
        <v>239</v>
      </c>
    </row>
    <row r="32" customFormat="false" ht="135.75" hidden="false" customHeight="true" outlineLevel="0" collapsed="false">
      <c r="A32" s="37" t="s">
        <v>256</v>
      </c>
      <c r="B32" s="37" t="s">
        <v>257</v>
      </c>
      <c r="C32" s="37" t="s">
        <v>189</v>
      </c>
      <c r="D32" s="37" t="s">
        <v>156</v>
      </c>
      <c r="E32" s="41" t="s">
        <v>88</v>
      </c>
      <c r="F32" s="37" t="s">
        <v>251</v>
      </c>
      <c r="G32" s="37" t="s">
        <v>258</v>
      </c>
      <c r="H32" s="40" t="s">
        <v>85</v>
      </c>
      <c r="I32" s="37" t="s">
        <v>149</v>
      </c>
      <c r="J32" s="37" t="s">
        <v>259</v>
      </c>
      <c r="K32" s="37" t="s">
        <v>260</v>
      </c>
      <c r="L32" s="37" t="s">
        <v>261</v>
      </c>
      <c r="M32" s="37" t="s">
        <v>262</v>
      </c>
    </row>
    <row r="33" customFormat="false" ht="124.5" hidden="false" customHeight="true" outlineLevel="0" collapsed="false">
      <c r="A33" s="37" t="s">
        <v>221</v>
      </c>
      <c r="B33" s="37" t="s">
        <v>222</v>
      </c>
      <c r="C33" s="37" t="s">
        <v>189</v>
      </c>
      <c r="D33" s="37" t="s">
        <v>148</v>
      </c>
      <c r="E33" s="38" t="s">
        <v>86</v>
      </c>
      <c r="F33" s="37" t="s">
        <v>210</v>
      </c>
      <c r="G33" s="37" t="s">
        <v>223</v>
      </c>
      <c r="H33" s="40" t="s">
        <v>85</v>
      </c>
      <c r="I33" s="37" t="s">
        <v>149</v>
      </c>
      <c r="J33" s="37" t="s">
        <v>224</v>
      </c>
      <c r="K33" s="37" t="s">
        <v>225</v>
      </c>
      <c r="L33" s="37" t="s">
        <v>226</v>
      </c>
      <c r="M33" s="37" t="s">
        <v>227</v>
      </c>
    </row>
    <row r="34" customFormat="false" ht="113.25" hidden="false" customHeight="true" outlineLevel="0" collapsed="false">
      <c r="A34" s="37" t="s">
        <v>263</v>
      </c>
      <c r="B34" s="37" t="s">
        <v>264</v>
      </c>
      <c r="C34" s="37" t="s">
        <v>189</v>
      </c>
      <c r="D34" s="37" t="s">
        <v>156</v>
      </c>
      <c r="E34" s="41" t="s">
        <v>88</v>
      </c>
      <c r="F34" s="37" t="s">
        <v>210</v>
      </c>
      <c r="G34" s="37" t="s">
        <v>223</v>
      </c>
      <c r="H34" s="40" t="s">
        <v>85</v>
      </c>
      <c r="I34" s="37" t="s">
        <v>149</v>
      </c>
      <c r="J34" s="37" t="s">
        <v>265</v>
      </c>
      <c r="K34" s="37" t="s">
        <v>266</v>
      </c>
      <c r="L34" s="37" t="s">
        <v>267</v>
      </c>
      <c r="M34" s="37" t="s">
        <v>268</v>
      </c>
    </row>
    <row r="35" customFormat="false" ht="102" hidden="false" customHeight="true" outlineLevel="0" collapsed="false">
      <c r="A35" s="37" t="s">
        <v>269</v>
      </c>
      <c r="B35" s="37" t="s">
        <v>270</v>
      </c>
      <c r="C35" s="37" t="s">
        <v>189</v>
      </c>
      <c r="D35" s="37" t="s">
        <v>156</v>
      </c>
      <c r="E35" s="41" t="s">
        <v>88</v>
      </c>
      <c r="F35" s="37" t="s">
        <v>251</v>
      </c>
      <c r="G35" s="37" t="s">
        <v>223</v>
      </c>
      <c r="H35" s="40" t="s">
        <v>85</v>
      </c>
      <c r="I35" s="37" t="s">
        <v>149</v>
      </c>
      <c r="J35" s="37" t="s">
        <v>271</v>
      </c>
      <c r="K35" s="37" t="s">
        <v>272</v>
      </c>
      <c r="L35" s="37" t="s">
        <v>273</v>
      </c>
      <c r="M35" s="37" t="s">
        <v>274</v>
      </c>
    </row>
    <row r="36" customFormat="false" ht="147" hidden="false" customHeight="true" outlineLevel="0" collapsed="false">
      <c r="A36" s="37" t="s">
        <v>295</v>
      </c>
      <c r="B36" s="37" t="s">
        <v>296</v>
      </c>
      <c r="C36" s="37" t="s">
        <v>189</v>
      </c>
      <c r="D36" s="37" t="s">
        <v>156</v>
      </c>
      <c r="E36" s="38" t="s">
        <v>86</v>
      </c>
      <c r="F36" s="37" t="s">
        <v>210</v>
      </c>
      <c r="G36" s="37" t="s">
        <v>223</v>
      </c>
      <c r="H36" s="40" t="s">
        <v>85</v>
      </c>
      <c r="I36" s="37" t="s">
        <v>149</v>
      </c>
      <c r="J36" s="37" t="s">
        <v>297</v>
      </c>
      <c r="K36" s="37" t="s">
        <v>298</v>
      </c>
      <c r="L36" s="37" t="s">
        <v>299</v>
      </c>
      <c r="M36" s="37" t="s">
        <v>300</v>
      </c>
    </row>
    <row r="37" customFormat="false" ht="168.75" hidden="false" customHeight="true" outlineLevel="0" collapsed="false">
      <c r="A37" s="37" t="s">
        <v>372</v>
      </c>
      <c r="B37" s="37" t="s">
        <v>373</v>
      </c>
      <c r="C37" s="37" t="s">
        <v>374</v>
      </c>
      <c r="D37" s="37" t="s">
        <v>156</v>
      </c>
      <c r="E37" s="38" t="s">
        <v>86</v>
      </c>
      <c r="F37" s="37" t="s">
        <v>210</v>
      </c>
      <c r="G37" s="37" t="s">
        <v>375</v>
      </c>
      <c r="H37" s="40" t="s">
        <v>83</v>
      </c>
      <c r="I37" s="37" t="s">
        <v>149</v>
      </c>
      <c r="J37" s="37" t="s">
        <v>376</v>
      </c>
      <c r="K37" s="37" t="s">
        <v>377</v>
      </c>
      <c r="L37" s="37" t="s">
        <v>378</v>
      </c>
      <c r="M37" s="37" t="s">
        <v>379</v>
      </c>
    </row>
    <row r="38" customFormat="false" ht="135.75" hidden="false" customHeight="true" outlineLevel="0" collapsed="false">
      <c r="A38" s="37" t="s">
        <v>673</v>
      </c>
      <c r="B38" s="37" t="s">
        <v>674</v>
      </c>
      <c r="C38" s="37" t="s">
        <v>350</v>
      </c>
      <c r="D38" s="37" t="s">
        <v>242</v>
      </c>
      <c r="E38" s="38" t="s">
        <v>86</v>
      </c>
      <c r="F38" s="37" t="s">
        <v>210</v>
      </c>
      <c r="G38" s="37" t="s">
        <v>669</v>
      </c>
      <c r="H38" s="40" t="s">
        <v>83</v>
      </c>
      <c r="I38" s="37" t="s">
        <v>149</v>
      </c>
      <c r="J38" s="37" t="s">
        <v>675</v>
      </c>
      <c r="K38" s="37" t="s">
        <v>676</v>
      </c>
      <c r="L38" s="37" t="s">
        <v>677</v>
      </c>
      <c r="M38" s="37" t="s">
        <v>678</v>
      </c>
    </row>
    <row r="39" customFormat="false" ht="113.25" hidden="false" customHeight="true" outlineLevel="0" collapsed="false">
      <c r="A39" s="37" t="s">
        <v>679</v>
      </c>
      <c r="B39" s="37" t="s">
        <v>680</v>
      </c>
      <c r="C39" s="37" t="s">
        <v>350</v>
      </c>
      <c r="D39" s="37" t="s">
        <v>242</v>
      </c>
      <c r="E39" s="38" t="s">
        <v>86</v>
      </c>
      <c r="F39" s="37" t="s">
        <v>251</v>
      </c>
      <c r="G39" s="37" t="s">
        <v>669</v>
      </c>
      <c r="H39" s="40" t="s">
        <v>83</v>
      </c>
      <c r="I39" s="37" t="s">
        <v>149</v>
      </c>
      <c r="J39" s="37" t="s">
        <v>681</v>
      </c>
      <c r="K39" s="37" t="s">
        <v>682</v>
      </c>
      <c r="L39" s="37" t="s">
        <v>683</v>
      </c>
      <c r="M39" s="37" t="s">
        <v>684</v>
      </c>
    </row>
    <row r="40" customFormat="false" ht="23.25" hidden="true" customHeight="true" outlineLevel="0" collapsed="false">
      <c r="A40" s="37" t="s">
        <v>325</v>
      </c>
      <c r="B40" s="37" t="s">
        <v>326</v>
      </c>
      <c r="C40" s="37" t="s">
        <v>189</v>
      </c>
      <c r="D40" s="37" t="s">
        <v>148</v>
      </c>
      <c r="E40" s="38" t="s">
        <v>86</v>
      </c>
      <c r="F40" s="37" t="s">
        <v>48</v>
      </c>
      <c r="G40" s="37" t="s">
        <v>56</v>
      </c>
      <c r="H40" s="42" t="s">
        <v>83</v>
      </c>
      <c r="I40" s="37" t="s">
        <v>149</v>
      </c>
      <c r="J40" s="37" t="s">
        <v>327</v>
      </c>
      <c r="K40" s="37" t="s">
        <v>328</v>
      </c>
      <c r="L40" s="37" t="s">
        <v>329</v>
      </c>
      <c r="M40" s="37" t="s">
        <v>330</v>
      </c>
    </row>
    <row r="41" customFormat="false" ht="23.25" hidden="true" customHeight="true" outlineLevel="0" collapsed="false">
      <c r="A41" s="37" t="s">
        <v>331</v>
      </c>
      <c r="B41" s="37" t="s">
        <v>332</v>
      </c>
      <c r="C41" s="37" t="s">
        <v>189</v>
      </c>
      <c r="D41" s="37" t="s">
        <v>148</v>
      </c>
      <c r="E41" s="38" t="s">
        <v>86</v>
      </c>
      <c r="F41" s="37" t="s">
        <v>48</v>
      </c>
      <c r="G41" s="37" t="s">
        <v>56</v>
      </c>
      <c r="H41" s="42" t="s">
        <v>83</v>
      </c>
      <c r="I41" s="37" t="s">
        <v>149</v>
      </c>
      <c r="J41" s="37" t="s">
        <v>333</v>
      </c>
      <c r="K41" s="37" t="s">
        <v>334</v>
      </c>
      <c r="L41" s="37" t="s">
        <v>152</v>
      </c>
      <c r="M41" s="37" t="s">
        <v>335</v>
      </c>
    </row>
    <row r="42" customFormat="false" ht="23.25" hidden="true" customHeight="true" outlineLevel="0" collapsed="false">
      <c r="A42" s="37" t="s">
        <v>336</v>
      </c>
      <c r="B42" s="37" t="s">
        <v>337</v>
      </c>
      <c r="C42" s="37" t="s">
        <v>189</v>
      </c>
      <c r="D42" s="37" t="s">
        <v>148</v>
      </c>
      <c r="E42" s="38" t="s">
        <v>86</v>
      </c>
      <c r="F42" s="37" t="s">
        <v>48</v>
      </c>
      <c r="G42" s="37" t="s">
        <v>56</v>
      </c>
      <c r="H42" s="42" t="s">
        <v>83</v>
      </c>
      <c r="I42" s="37" t="s">
        <v>149</v>
      </c>
      <c r="J42" s="37" t="s">
        <v>338</v>
      </c>
      <c r="K42" s="37" t="s">
        <v>339</v>
      </c>
      <c r="L42" s="37" t="s">
        <v>152</v>
      </c>
      <c r="M42" s="37" t="s">
        <v>340</v>
      </c>
    </row>
    <row r="43" customFormat="false" ht="23.25" hidden="true" customHeight="true" outlineLevel="0" collapsed="false">
      <c r="A43" s="37" t="s">
        <v>341</v>
      </c>
      <c r="B43" s="37" t="s">
        <v>342</v>
      </c>
      <c r="C43" s="37" t="s">
        <v>189</v>
      </c>
      <c r="D43" s="37" t="s">
        <v>148</v>
      </c>
      <c r="E43" s="38" t="s">
        <v>86</v>
      </c>
      <c r="F43" s="37" t="s">
        <v>48</v>
      </c>
      <c r="G43" s="37" t="s">
        <v>56</v>
      </c>
      <c r="H43" s="42" t="s">
        <v>83</v>
      </c>
      <c r="I43" s="37" t="s">
        <v>149</v>
      </c>
      <c r="J43" s="37" t="s">
        <v>343</v>
      </c>
      <c r="K43" s="37" t="s">
        <v>344</v>
      </c>
      <c r="L43" s="37" t="s">
        <v>152</v>
      </c>
      <c r="M43" s="37" t="s">
        <v>340</v>
      </c>
    </row>
    <row r="44" customFormat="false" ht="23.25" hidden="true" customHeight="true" outlineLevel="0" collapsed="false">
      <c r="A44" s="37" t="s">
        <v>345</v>
      </c>
      <c r="B44" s="37" t="s">
        <v>346</v>
      </c>
      <c r="C44" s="37" t="s">
        <v>189</v>
      </c>
      <c r="D44" s="37" t="s">
        <v>148</v>
      </c>
      <c r="E44" s="38" t="s">
        <v>86</v>
      </c>
      <c r="F44" s="37" t="s">
        <v>57</v>
      </c>
      <c r="G44" s="37" t="s">
        <v>56</v>
      </c>
      <c r="H44" s="42" t="s">
        <v>83</v>
      </c>
      <c r="I44" s="37" t="s">
        <v>149</v>
      </c>
      <c r="J44" s="37" t="s">
        <v>347</v>
      </c>
      <c r="K44" s="37" t="s">
        <v>348</v>
      </c>
      <c r="L44" s="37" t="s">
        <v>152</v>
      </c>
      <c r="M44" s="37" t="s">
        <v>340</v>
      </c>
    </row>
    <row r="45" customFormat="false" ht="23.25" hidden="true" customHeight="true" outlineLevel="0" collapsed="false">
      <c r="A45" s="37" t="s">
        <v>152</v>
      </c>
      <c r="B45" s="37" t="s">
        <v>349</v>
      </c>
      <c r="C45" s="37" t="s">
        <v>350</v>
      </c>
      <c r="D45" s="37" t="s">
        <v>148</v>
      </c>
      <c r="E45" s="38" t="s">
        <v>86</v>
      </c>
      <c r="F45" s="37" t="s">
        <v>48</v>
      </c>
      <c r="G45" s="37" t="s">
        <v>56</v>
      </c>
      <c r="H45" s="42" t="s">
        <v>83</v>
      </c>
      <c r="I45" s="37" t="s">
        <v>149</v>
      </c>
      <c r="J45" s="37" t="s">
        <v>351</v>
      </c>
      <c r="K45" s="37" t="s">
        <v>352</v>
      </c>
      <c r="L45" s="37" t="s">
        <v>353</v>
      </c>
      <c r="M45" s="37" t="s">
        <v>340</v>
      </c>
    </row>
    <row r="46" customFormat="false" ht="23.25" hidden="true" customHeight="true" outlineLevel="0" collapsed="false">
      <c r="A46" s="37" t="s">
        <v>408</v>
      </c>
      <c r="B46" s="37" t="s">
        <v>409</v>
      </c>
      <c r="C46" s="37" t="s">
        <v>410</v>
      </c>
      <c r="D46" s="37" t="s">
        <v>242</v>
      </c>
      <c r="E46" s="38" t="s">
        <v>86</v>
      </c>
      <c r="F46" s="37" t="s">
        <v>63</v>
      </c>
      <c r="G46" s="37" t="s">
        <v>97</v>
      </c>
      <c r="H46" s="42" t="s">
        <v>83</v>
      </c>
      <c r="I46" s="37" t="s">
        <v>149</v>
      </c>
      <c r="J46" s="37" t="s">
        <v>411</v>
      </c>
      <c r="K46" s="37" t="s">
        <v>412</v>
      </c>
      <c r="L46" s="37" t="s">
        <v>413</v>
      </c>
      <c r="M46" s="37" t="s">
        <v>340</v>
      </c>
    </row>
    <row r="47" customFormat="false" ht="23.25" hidden="true" customHeight="true" outlineLevel="0" collapsed="false">
      <c r="A47" s="37" t="s">
        <v>414</v>
      </c>
      <c r="B47" s="37" t="s">
        <v>415</v>
      </c>
      <c r="C47" s="37" t="s">
        <v>250</v>
      </c>
      <c r="D47" s="37" t="s">
        <v>242</v>
      </c>
      <c r="E47" s="38" t="s">
        <v>86</v>
      </c>
      <c r="F47" s="37" t="s">
        <v>63</v>
      </c>
      <c r="G47" s="37" t="s">
        <v>97</v>
      </c>
      <c r="H47" s="42" t="s">
        <v>83</v>
      </c>
      <c r="I47" s="37" t="s">
        <v>149</v>
      </c>
      <c r="J47" s="37" t="s">
        <v>416</v>
      </c>
      <c r="K47" s="37" t="s">
        <v>417</v>
      </c>
      <c r="L47" s="37" t="s">
        <v>413</v>
      </c>
      <c r="M47" s="37" t="s">
        <v>340</v>
      </c>
    </row>
    <row r="48" customFormat="false" ht="23.25" hidden="true" customHeight="true" outlineLevel="0" collapsed="false">
      <c r="A48" s="37" t="s">
        <v>413</v>
      </c>
      <c r="B48" s="37" t="s">
        <v>418</v>
      </c>
      <c r="C48" s="37" t="s">
        <v>419</v>
      </c>
      <c r="D48" s="37" t="s">
        <v>168</v>
      </c>
      <c r="E48" s="38" t="s">
        <v>86</v>
      </c>
      <c r="F48" s="37" t="s">
        <v>48</v>
      </c>
      <c r="G48" s="37" t="s">
        <v>97</v>
      </c>
      <c r="H48" s="42" t="s">
        <v>83</v>
      </c>
      <c r="I48" s="37" t="s">
        <v>149</v>
      </c>
      <c r="J48" s="37" t="s">
        <v>420</v>
      </c>
      <c r="K48" s="37" t="s">
        <v>421</v>
      </c>
      <c r="L48" s="37" t="s">
        <v>246</v>
      </c>
      <c r="M48" s="37" t="s">
        <v>422</v>
      </c>
    </row>
    <row r="49" customFormat="false" ht="23.25" hidden="true" customHeight="true" outlineLevel="0" collapsed="false">
      <c r="A49" s="37" t="s">
        <v>423</v>
      </c>
      <c r="B49" s="37" t="s">
        <v>424</v>
      </c>
      <c r="C49" s="37" t="s">
        <v>250</v>
      </c>
      <c r="D49" s="37" t="s">
        <v>242</v>
      </c>
      <c r="E49" s="38" t="s">
        <v>86</v>
      </c>
      <c r="F49" s="37" t="s">
        <v>63</v>
      </c>
      <c r="G49" s="37" t="s">
        <v>97</v>
      </c>
      <c r="H49" s="42" t="s">
        <v>83</v>
      </c>
      <c r="I49" s="37" t="s">
        <v>149</v>
      </c>
      <c r="J49" s="37" t="s">
        <v>425</v>
      </c>
      <c r="K49" s="37" t="s">
        <v>426</v>
      </c>
      <c r="L49" s="37" t="s">
        <v>413</v>
      </c>
      <c r="M49" s="37" t="s">
        <v>427</v>
      </c>
    </row>
    <row r="50" customFormat="false" ht="23.25" hidden="true" customHeight="true" outlineLevel="0" collapsed="false">
      <c r="A50" s="37" t="s">
        <v>428</v>
      </c>
      <c r="B50" s="37" t="s">
        <v>429</v>
      </c>
      <c r="C50" s="37" t="s">
        <v>410</v>
      </c>
      <c r="D50" s="37" t="s">
        <v>242</v>
      </c>
      <c r="E50" s="38" t="s">
        <v>86</v>
      </c>
      <c r="F50" s="37" t="s">
        <v>63</v>
      </c>
      <c r="G50" s="37" t="s">
        <v>97</v>
      </c>
      <c r="H50" s="42" t="s">
        <v>83</v>
      </c>
      <c r="I50" s="37" t="s">
        <v>149</v>
      </c>
      <c r="J50" s="37" t="s">
        <v>430</v>
      </c>
      <c r="K50" s="37" t="s">
        <v>431</v>
      </c>
      <c r="L50" s="37" t="s">
        <v>413</v>
      </c>
      <c r="M50" s="37" t="s">
        <v>427</v>
      </c>
    </row>
    <row r="51" customFormat="false" ht="23.25" hidden="true" customHeight="true" outlineLevel="0" collapsed="false">
      <c r="A51" s="37" t="s">
        <v>432</v>
      </c>
      <c r="B51" s="37" t="s">
        <v>433</v>
      </c>
      <c r="C51" s="37" t="s">
        <v>250</v>
      </c>
      <c r="D51" s="37" t="s">
        <v>242</v>
      </c>
      <c r="E51" s="38" t="s">
        <v>86</v>
      </c>
      <c r="F51" s="37" t="s">
        <v>63</v>
      </c>
      <c r="G51" s="37" t="s">
        <v>97</v>
      </c>
      <c r="H51" s="42" t="s">
        <v>83</v>
      </c>
      <c r="I51" s="37" t="s">
        <v>149</v>
      </c>
      <c r="J51" s="37" t="s">
        <v>434</v>
      </c>
      <c r="K51" s="37" t="s">
        <v>435</v>
      </c>
      <c r="L51" s="37" t="s">
        <v>413</v>
      </c>
      <c r="M51" s="37" t="s">
        <v>427</v>
      </c>
    </row>
    <row r="52" customFormat="false" ht="23.25" hidden="true" customHeight="true" outlineLevel="0" collapsed="false">
      <c r="A52" s="37" t="s">
        <v>436</v>
      </c>
      <c r="B52" s="37" t="s">
        <v>437</v>
      </c>
      <c r="C52" s="37" t="s">
        <v>250</v>
      </c>
      <c r="D52" s="37" t="s">
        <v>156</v>
      </c>
      <c r="E52" s="38" t="s">
        <v>86</v>
      </c>
      <c r="F52" s="37" t="s">
        <v>63</v>
      </c>
      <c r="G52" s="37" t="s">
        <v>97</v>
      </c>
      <c r="H52" s="42" t="s">
        <v>83</v>
      </c>
      <c r="I52" s="37" t="s">
        <v>149</v>
      </c>
      <c r="J52" s="37" t="s">
        <v>438</v>
      </c>
      <c r="K52" s="37" t="s">
        <v>439</v>
      </c>
      <c r="L52" s="37" t="s">
        <v>413</v>
      </c>
      <c r="M52" s="37" t="s">
        <v>427</v>
      </c>
    </row>
    <row r="53" customFormat="false" ht="23.25" hidden="true" customHeight="true" outlineLevel="0" collapsed="false">
      <c r="A53" s="37" t="s">
        <v>440</v>
      </c>
      <c r="B53" s="37" t="s">
        <v>441</v>
      </c>
      <c r="C53" s="37" t="s">
        <v>250</v>
      </c>
      <c r="D53" s="37" t="s">
        <v>156</v>
      </c>
      <c r="E53" s="38" t="s">
        <v>86</v>
      </c>
      <c r="F53" s="37" t="s">
        <v>63</v>
      </c>
      <c r="G53" s="37" t="s">
        <v>97</v>
      </c>
      <c r="H53" s="42" t="s">
        <v>83</v>
      </c>
      <c r="I53" s="37" t="s">
        <v>149</v>
      </c>
      <c r="J53" s="37" t="s">
        <v>442</v>
      </c>
      <c r="K53" s="37" t="s">
        <v>443</v>
      </c>
      <c r="L53" s="37" t="s">
        <v>413</v>
      </c>
      <c r="M53" s="37" t="s">
        <v>427</v>
      </c>
    </row>
    <row r="54" customFormat="false" ht="23.25" hidden="true" customHeight="true" outlineLevel="0" collapsed="false">
      <c r="A54" s="37" t="s">
        <v>449</v>
      </c>
      <c r="B54" s="37" t="s">
        <v>450</v>
      </c>
      <c r="C54" s="37" t="s">
        <v>250</v>
      </c>
      <c r="D54" s="37" t="s">
        <v>242</v>
      </c>
      <c r="E54" s="38" t="s">
        <v>86</v>
      </c>
      <c r="F54" s="37" t="s">
        <v>63</v>
      </c>
      <c r="G54" s="37" t="s">
        <v>97</v>
      </c>
      <c r="H54" s="42" t="s">
        <v>83</v>
      </c>
      <c r="I54" s="37" t="s">
        <v>149</v>
      </c>
      <c r="J54" s="37" t="s">
        <v>451</v>
      </c>
      <c r="K54" s="37" t="s">
        <v>452</v>
      </c>
      <c r="L54" s="37" t="s">
        <v>246</v>
      </c>
      <c r="M54" s="37" t="s">
        <v>427</v>
      </c>
    </row>
    <row r="55" customFormat="false" ht="34.5" hidden="true" customHeight="true" outlineLevel="0" collapsed="false">
      <c r="A55" s="37" t="s">
        <v>453</v>
      </c>
      <c r="B55" s="37" t="s">
        <v>454</v>
      </c>
      <c r="C55" s="37" t="s">
        <v>250</v>
      </c>
      <c r="D55" s="37" t="s">
        <v>156</v>
      </c>
      <c r="E55" s="38" t="s">
        <v>86</v>
      </c>
      <c r="F55" s="37" t="s">
        <v>63</v>
      </c>
      <c r="G55" s="37" t="s">
        <v>97</v>
      </c>
      <c r="H55" s="42" t="s">
        <v>83</v>
      </c>
      <c r="I55" s="37" t="s">
        <v>149</v>
      </c>
      <c r="J55" s="37" t="s">
        <v>455</v>
      </c>
      <c r="K55" s="37" t="s">
        <v>456</v>
      </c>
      <c r="L55" s="37" t="s">
        <v>413</v>
      </c>
      <c r="M55" s="37" t="s">
        <v>457</v>
      </c>
    </row>
    <row r="56" customFormat="false" ht="23.25" hidden="true" customHeight="true" outlineLevel="0" collapsed="false">
      <c r="A56" s="37" t="s">
        <v>458</v>
      </c>
      <c r="B56" s="37" t="s">
        <v>459</v>
      </c>
      <c r="C56" s="37" t="s">
        <v>250</v>
      </c>
      <c r="D56" s="37" t="s">
        <v>168</v>
      </c>
      <c r="E56" s="38" t="s">
        <v>86</v>
      </c>
      <c r="F56" s="37" t="s">
        <v>63</v>
      </c>
      <c r="G56" s="37" t="s">
        <v>97</v>
      </c>
      <c r="H56" s="42" t="s">
        <v>83</v>
      </c>
      <c r="I56" s="37" t="s">
        <v>149</v>
      </c>
      <c r="J56" s="37" t="s">
        <v>460</v>
      </c>
      <c r="K56" s="37" t="s">
        <v>461</v>
      </c>
      <c r="L56" s="37" t="s">
        <v>413</v>
      </c>
      <c r="M56" s="37" t="s">
        <v>462</v>
      </c>
    </row>
    <row r="57" customFormat="false" ht="23.25" hidden="true" customHeight="true" outlineLevel="0" collapsed="false">
      <c r="A57" s="37" t="s">
        <v>493</v>
      </c>
      <c r="B57" s="37" t="s">
        <v>494</v>
      </c>
      <c r="C57" s="37" t="s">
        <v>410</v>
      </c>
      <c r="D57" s="37" t="s">
        <v>242</v>
      </c>
      <c r="E57" s="38" t="s">
        <v>86</v>
      </c>
      <c r="F57" s="37" t="s">
        <v>63</v>
      </c>
      <c r="G57" s="37" t="s">
        <v>47</v>
      </c>
      <c r="H57" s="42" t="s">
        <v>83</v>
      </c>
      <c r="I57" s="37" t="s">
        <v>149</v>
      </c>
      <c r="J57" s="37" t="s">
        <v>495</v>
      </c>
      <c r="K57" s="37" t="s">
        <v>496</v>
      </c>
      <c r="L57" s="37" t="s">
        <v>246</v>
      </c>
      <c r="M57" s="37" t="s">
        <v>340</v>
      </c>
    </row>
    <row r="58" customFormat="false" ht="34.5" hidden="true" customHeight="true" outlineLevel="0" collapsed="false">
      <c r="A58" s="37" t="s">
        <v>667</v>
      </c>
      <c r="B58" s="37" t="s">
        <v>668</v>
      </c>
      <c r="C58" s="37" t="s">
        <v>350</v>
      </c>
      <c r="D58" s="37" t="s">
        <v>242</v>
      </c>
      <c r="E58" s="38" t="s">
        <v>86</v>
      </c>
      <c r="F58" s="37" t="s">
        <v>63</v>
      </c>
      <c r="G58" s="37" t="s">
        <v>669</v>
      </c>
      <c r="H58" s="42" t="s">
        <v>83</v>
      </c>
      <c r="I58" s="37" t="s">
        <v>149</v>
      </c>
      <c r="J58" s="37" t="s">
        <v>670</v>
      </c>
      <c r="K58" s="37" t="s">
        <v>671</v>
      </c>
      <c r="L58" s="37" t="s">
        <v>331</v>
      </c>
      <c r="M58" s="37" t="s">
        <v>672</v>
      </c>
    </row>
    <row r="59" customFormat="false" ht="124.5" hidden="true" customHeight="true" outlineLevel="0" collapsed="false">
      <c r="A59" s="37" t="s">
        <v>735</v>
      </c>
      <c r="B59" s="37" t="s">
        <v>736</v>
      </c>
      <c r="C59" s="37" t="s">
        <v>250</v>
      </c>
      <c r="D59" s="37" t="s">
        <v>156</v>
      </c>
      <c r="E59" s="38" t="s">
        <v>86</v>
      </c>
      <c r="F59" s="37" t="s">
        <v>251</v>
      </c>
      <c r="G59" s="37" t="s">
        <v>97</v>
      </c>
      <c r="H59" s="39" t="s">
        <v>191</v>
      </c>
      <c r="I59" s="37" t="s">
        <v>149</v>
      </c>
      <c r="J59" s="37" t="s">
        <v>737</v>
      </c>
      <c r="K59" s="37" t="s">
        <v>738</v>
      </c>
      <c r="L59" s="37" t="s">
        <v>739</v>
      </c>
      <c r="M59" s="37" t="s">
        <v>740</v>
      </c>
    </row>
    <row r="60" customFormat="false" ht="135.75" hidden="true" customHeight="true" outlineLevel="0" collapsed="false">
      <c r="A60" s="37" t="s">
        <v>741</v>
      </c>
      <c r="B60" s="37" t="s">
        <v>742</v>
      </c>
      <c r="C60" s="37" t="s">
        <v>374</v>
      </c>
      <c r="D60" s="37" t="s">
        <v>743</v>
      </c>
      <c r="E60" s="38" t="s">
        <v>86</v>
      </c>
      <c r="F60" s="37" t="s">
        <v>251</v>
      </c>
      <c r="G60" s="37" t="s">
        <v>66</v>
      </c>
      <c r="H60" s="39" t="s">
        <v>191</v>
      </c>
      <c r="I60" s="37" t="s">
        <v>149</v>
      </c>
      <c r="J60" s="37" t="s">
        <v>744</v>
      </c>
      <c r="K60" s="37" t="s">
        <v>745</v>
      </c>
      <c r="L60" s="37" t="s">
        <v>746</v>
      </c>
      <c r="M60" s="37" t="s">
        <v>747</v>
      </c>
    </row>
    <row r="61" customFormat="false" ht="79.5" hidden="true" customHeight="true" outlineLevel="0" collapsed="false">
      <c r="A61" s="37" t="s">
        <v>748</v>
      </c>
      <c r="B61" s="37" t="s">
        <v>749</v>
      </c>
      <c r="C61" s="37" t="s">
        <v>410</v>
      </c>
      <c r="D61" s="37" t="s">
        <v>242</v>
      </c>
      <c r="E61" s="38" t="s">
        <v>86</v>
      </c>
      <c r="F61" s="37" t="s">
        <v>750</v>
      </c>
      <c r="G61" s="37" t="s">
        <v>47</v>
      </c>
      <c r="H61" s="39" t="s">
        <v>191</v>
      </c>
      <c r="I61" s="37" t="s">
        <v>149</v>
      </c>
      <c r="J61" s="37" t="s">
        <v>751</v>
      </c>
      <c r="K61" s="37" t="s">
        <v>752</v>
      </c>
      <c r="L61" s="37" t="s">
        <v>753</v>
      </c>
      <c r="M61" s="37" t="s">
        <v>754</v>
      </c>
    </row>
  </sheetData>
  <autoFilter ref="A1:M61">
    <filterColumn colId="7">
      <filters>
        <filter val="Open"/>
      </filters>
    </filterColumn>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14843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36" t="s">
        <v>136</v>
      </c>
      <c r="B1" s="36" t="s">
        <v>137</v>
      </c>
      <c r="C1" s="36" t="s">
        <v>138</v>
      </c>
      <c r="D1" s="36" t="s">
        <v>139</v>
      </c>
      <c r="E1" s="36" t="s">
        <v>82</v>
      </c>
      <c r="F1" s="36" t="s">
        <v>44</v>
      </c>
      <c r="G1" s="36" t="s">
        <v>140</v>
      </c>
      <c r="H1" s="36" t="s">
        <v>3</v>
      </c>
      <c r="I1" s="36" t="s">
        <v>141</v>
      </c>
      <c r="J1" s="36" t="s">
        <v>185</v>
      </c>
      <c r="K1" s="36" t="s">
        <v>142</v>
      </c>
      <c r="L1" s="36" t="s">
        <v>143</v>
      </c>
      <c r="M1" s="36" t="s">
        <v>186</v>
      </c>
    </row>
    <row r="2" customFormat="false" ht="157.5" hidden="false" customHeight="true" outlineLevel="0" collapsed="false">
      <c r="A2" s="37" t="s">
        <v>65</v>
      </c>
      <c r="B2" s="37" t="s">
        <v>557</v>
      </c>
      <c r="C2" s="37" t="s">
        <v>374</v>
      </c>
      <c r="D2" s="37" t="s">
        <v>168</v>
      </c>
      <c r="E2" s="38" t="s">
        <v>86</v>
      </c>
      <c r="F2" s="37" t="s">
        <v>210</v>
      </c>
      <c r="G2" s="37" t="s">
        <v>66</v>
      </c>
      <c r="H2" s="40" t="s">
        <v>83</v>
      </c>
      <c r="I2" s="37" t="s">
        <v>149</v>
      </c>
      <c r="J2" s="37" t="s">
        <v>558</v>
      </c>
      <c r="K2" s="37" t="s">
        <v>559</v>
      </c>
      <c r="L2" s="37" t="s">
        <v>560</v>
      </c>
      <c r="M2" s="37" t="s">
        <v>561</v>
      </c>
    </row>
    <row r="3" customFormat="false" ht="180" hidden="false" customHeight="true" outlineLevel="0" collapsed="false">
      <c r="A3" s="37" t="s">
        <v>583</v>
      </c>
      <c r="B3" s="37" t="s">
        <v>584</v>
      </c>
      <c r="C3" s="37" t="s">
        <v>577</v>
      </c>
      <c r="D3" s="37" t="s">
        <v>156</v>
      </c>
      <c r="E3" s="38" t="s">
        <v>86</v>
      </c>
      <c r="F3" s="37" t="s">
        <v>190</v>
      </c>
      <c r="G3" s="37" t="s">
        <v>101</v>
      </c>
      <c r="H3" s="40" t="s">
        <v>85</v>
      </c>
      <c r="I3" s="37" t="s">
        <v>149</v>
      </c>
      <c r="J3" s="37" t="s">
        <v>585</v>
      </c>
      <c r="K3" s="37" t="s">
        <v>586</v>
      </c>
      <c r="L3" s="37" t="s">
        <v>587</v>
      </c>
      <c r="M3" s="37" t="s">
        <v>588</v>
      </c>
    </row>
    <row r="4" customFormat="false" ht="157.5" hidden="false" customHeight="true" outlineLevel="0" collapsed="false">
      <c r="A4" s="37" t="s">
        <v>166</v>
      </c>
      <c r="B4" s="37" t="s">
        <v>535</v>
      </c>
      <c r="C4" s="37" t="s">
        <v>476</v>
      </c>
      <c r="D4" s="37" t="s">
        <v>168</v>
      </c>
      <c r="E4" s="38" t="s">
        <v>86</v>
      </c>
      <c r="F4" s="37" t="s">
        <v>251</v>
      </c>
      <c r="G4" s="37" t="s">
        <v>169</v>
      </c>
      <c r="H4" s="40" t="s">
        <v>83</v>
      </c>
      <c r="I4" s="37" t="s">
        <v>149</v>
      </c>
      <c r="J4" s="37" t="s">
        <v>536</v>
      </c>
      <c r="K4" s="37" t="s">
        <v>537</v>
      </c>
      <c r="L4" s="37" t="s">
        <v>538</v>
      </c>
      <c r="M4" s="37" t="s">
        <v>539</v>
      </c>
    </row>
    <row r="5" customFormat="false" ht="191.25" hidden="false" customHeight="true" outlineLevel="0" collapsed="false">
      <c r="A5" s="37" t="s">
        <v>528</v>
      </c>
      <c r="B5" s="37" t="s">
        <v>529</v>
      </c>
      <c r="C5" s="37" t="s">
        <v>350</v>
      </c>
      <c r="D5" s="37" t="s">
        <v>242</v>
      </c>
      <c r="E5" s="38" t="s">
        <v>86</v>
      </c>
      <c r="F5" s="37" t="s">
        <v>210</v>
      </c>
      <c r="G5" s="37" t="s">
        <v>530</v>
      </c>
      <c r="H5" s="40" t="s">
        <v>85</v>
      </c>
      <c r="I5" s="37" t="s">
        <v>149</v>
      </c>
      <c r="J5" s="37" t="s">
        <v>531</v>
      </c>
      <c r="K5" s="37" t="s">
        <v>532</v>
      </c>
      <c r="L5" s="37" t="s">
        <v>533</v>
      </c>
      <c r="M5" s="37" t="s">
        <v>534</v>
      </c>
    </row>
    <row r="6" customFormat="false" ht="124.5" hidden="false" customHeight="true" outlineLevel="0" collapsed="false">
      <c r="A6" s="37" t="s">
        <v>173</v>
      </c>
      <c r="B6" s="37" t="s">
        <v>552</v>
      </c>
      <c r="C6" s="37" t="s">
        <v>250</v>
      </c>
      <c r="D6" s="37" t="s">
        <v>156</v>
      </c>
      <c r="E6" s="38" t="s">
        <v>86</v>
      </c>
      <c r="F6" s="37" t="s">
        <v>243</v>
      </c>
      <c r="G6" s="37" t="s">
        <v>175</v>
      </c>
      <c r="H6" s="40" t="s">
        <v>83</v>
      </c>
      <c r="I6" s="37" t="s">
        <v>149</v>
      </c>
      <c r="J6" s="37" t="s">
        <v>553</v>
      </c>
      <c r="K6" s="37" t="s">
        <v>554</v>
      </c>
      <c r="L6" s="37" t="s">
        <v>555</v>
      </c>
      <c r="M6" s="37" t="s">
        <v>556</v>
      </c>
    </row>
    <row r="7" customFormat="false" ht="135.75" hidden="false" customHeight="true" outlineLevel="0" collapsed="false">
      <c r="A7" s="37" t="s">
        <v>562</v>
      </c>
      <c r="B7" s="37" t="s">
        <v>563</v>
      </c>
      <c r="C7" s="37" t="s">
        <v>374</v>
      </c>
      <c r="D7" s="37" t="s">
        <v>168</v>
      </c>
      <c r="E7" s="38" t="s">
        <v>86</v>
      </c>
      <c r="F7" s="37" t="s">
        <v>243</v>
      </c>
      <c r="G7" s="37" t="s">
        <v>564</v>
      </c>
      <c r="H7" s="40" t="s">
        <v>83</v>
      </c>
      <c r="I7" s="37" t="s">
        <v>149</v>
      </c>
      <c r="J7" s="37" t="s">
        <v>565</v>
      </c>
      <c r="K7" s="37" t="s">
        <v>566</v>
      </c>
      <c r="L7" s="37" t="s">
        <v>567</v>
      </c>
      <c r="M7" s="37" t="s">
        <v>568</v>
      </c>
    </row>
    <row r="8" customFormat="false" ht="147" hidden="false" customHeight="true" outlineLevel="0" collapsed="false">
      <c r="A8" s="37" t="s">
        <v>569</v>
      </c>
      <c r="B8" s="37" t="s">
        <v>570</v>
      </c>
      <c r="C8" s="37" t="s">
        <v>374</v>
      </c>
      <c r="D8" s="37" t="s">
        <v>168</v>
      </c>
      <c r="E8" s="38" t="s">
        <v>86</v>
      </c>
      <c r="F8" s="37" t="s">
        <v>251</v>
      </c>
      <c r="G8" s="37" t="s">
        <v>564</v>
      </c>
      <c r="H8" s="40" t="s">
        <v>85</v>
      </c>
      <c r="I8" s="37" t="s">
        <v>149</v>
      </c>
      <c r="J8" s="37" t="s">
        <v>571</v>
      </c>
      <c r="K8" s="37" t="s">
        <v>572</v>
      </c>
      <c r="L8" s="37" t="s">
        <v>573</v>
      </c>
      <c r="M8" s="37" t="s">
        <v>574</v>
      </c>
    </row>
    <row r="9" customFormat="false" ht="135.75" hidden="false" customHeight="true" outlineLevel="0" collapsed="false">
      <c r="A9" s="37" t="s">
        <v>540</v>
      </c>
      <c r="B9" s="37" t="s">
        <v>541</v>
      </c>
      <c r="C9" s="37" t="s">
        <v>374</v>
      </c>
      <c r="D9" s="37" t="s">
        <v>156</v>
      </c>
      <c r="E9" s="38" t="s">
        <v>86</v>
      </c>
      <c r="F9" s="37" t="s">
        <v>210</v>
      </c>
      <c r="G9" s="37" t="s">
        <v>542</v>
      </c>
      <c r="H9" s="40" t="s">
        <v>83</v>
      </c>
      <c r="I9" s="37" t="s">
        <v>149</v>
      </c>
      <c r="J9" s="37" t="s">
        <v>543</v>
      </c>
      <c r="K9" s="37" t="s">
        <v>544</v>
      </c>
      <c r="L9" s="37" t="s">
        <v>246</v>
      </c>
      <c r="M9" s="37" t="s">
        <v>545</v>
      </c>
    </row>
    <row r="10" customFormat="false" ht="157.5" hidden="false" customHeight="true" outlineLevel="0" collapsed="false">
      <c r="A10" s="37" t="s">
        <v>546</v>
      </c>
      <c r="B10" s="37" t="s">
        <v>547</v>
      </c>
      <c r="C10" s="37" t="s">
        <v>374</v>
      </c>
      <c r="D10" s="37" t="s">
        <v>168</v>
      </c>
      <c r="E10" s="38" t="s">
        <v>86</v>
      </c>
      <c r="F10" s="37" t="s">
        <v>210</v>
      </c>
      <c r="G10" s="37" t="s">
        <v>548</v>
      </c>
      <c r="H10" s="40" t="s">
        <v>83</v>
      </c>
      <c r="I10" s="37" t="s">
        <v>149</v>
      </c>
      <c r="J10" s="37" t="s">
        <v>549</v>
      </c>
      <c r="K10" s="37" t="s">
        <v>550</v>
      </c>
      <c r="L10" s="37" t="s">
        <v>246</v>
      </c>
      <c r="M10" s="37" t="s">
        <v>551</v>
      </c>
    </row>
    <row r="11" customFormat="false" ht="168.75" hidden="false" customHeight="true" outlineLevel="0" collapsed="false">
      <c r="A11" s="37" t="s">
        <v>575</v>
      </c>
      <c r="B11" s="37" t="s">
        <v>576</v>
      </c>
      <c r="C11" s="37" t="s">
        <v>577</v>
      </c>
      <c r="D11" s="37" t="s">
        <v>168</v>
      </c>
      <c r="E11" s="38" t="s">
        <v>86</v>
      </c>
      <c r="F11" s="37" t="s">
        <v>210</v>
      </c>
      <c r="G11" s="37" t="s">
        <v>578</v>
      </c>
      <c r="H11" s="40" t="s">
        <v>85</v>
      </c>
      <c r="I11" s="37" t="s">
        <v>149</v>
      </c>
      <c r="J11" s="37" t="s">
        <v>579</v>
      </c>
      <c r="K11" s="37" t="s">
        <v>580</v>
      </c>
      <c r="L11" s="37" t="s">
        <v>581</v>
      </c>
      <c r="M11" s="37" t="s">
        <v>582</v>
      </c>
    </row>
    <row r="12" customFormat="false" ht="168.75" hidden="false" customHeight="true" outlineLevel="0" collapsed="false">
      <c r="A12" s="37" t="s">
        <v>589</v>
      </c>
      <c r="B12" s="37" t="s">
        <v>590</v>
      </c>
      <c r="C12" s="37" t="s">
        <v>577</v>
      </c>
      <c r="D12" s="37" t="s">
        <v>156</v>
      </c>
      <c r="E12" s="38" t="s">
        <v>86</v>
      </c>
      <c r="F12" s="37" t="s">
        <v>210</v>
      </c>
      <c r="G12" s="37" t="s">
        <v>591</v>
      </c>
      <c r="H12" s="40" t="s">
        <v>85</v>
      </c>
      <c r="I12" s="37" t="s">
        <v>149</v>
      </c>
      <c r="J12" s="37" t="s">
        <v>592</v>
      </c>
      <c r="K12" s="37" t="s">
        <v>593</v>
      </c>
      <c r="L12" s="37" t="s">
        <v>594</v>
      </c>
      <c r="M12" s="37" t="s">
        <v>595</v>
      </c>
    </row>
    <row r="13" customFormat="false" ht="23.25" hidden="false" customHeight="true" outlineLevel="0" collapsed="false">
      <c r="A13" s="37" t="s">
        <v>408</v>
      </c>
      <c r="B13" s="37" t="s">
        <v>409</v>
      </c>
      <c r="C13" s="37" t="s">
        <v>410</v>
      </c>
      <c r="D13" s="37" t="s">
        <v>242</v>
      </c>
      <c r="E13" s="38" t="s">
        <v>86</v>
      </c>
      <c r="F13" s="37" t="s">
        <v>63</v>
      </c>
      <c r="G13" s="37" t="s">
        <v>97</v>
      </c>
      <c r="H13" s="42" t="s">
        <v>83</v>
      </c>
      <c r="I13" s="37" t="s">
        <v>149</v>
      </c>
      <c r="J13" s="37" t="s">
        <v>411</v>
      </c>
      <c r="K13" s="37" t="s">
        <v>412</v>
      </c>
      <c r="L13" s="37" t="s">
        <v>413</v>
      </c>
      <c r="M13" s="37" t="s">
        <v>340</v>
      </c>
    </row>
    <row r="14" customFormat="false" ht="23.25" hidden="false" customHeight="true" outlineLevel="0" collapsed="false">
      <c r="A14" s="37" t="s">
        <v>428</v>
      </c>
      <c r="B14" s="37" t="s">
        <v>429</v>
      </c>
      <c r="C14" s="37" t="s">
        <v>410</v>
      </c>
      <c r="D14" s="37" t="s">
        <v>242</v>
      </c>
      <c r="E14" s="38" t="s">
        <v>86</v>
      </c>
      <c r="F14" s="37" t="s">
        <v>63</v>
      </c>
      <c r="G14" s="37" t="s">
        <v>97</v>
      </c>
      <c r="H14" s="42" t="s">
        <v>83</v>
      </c>
      <c r="I14" s="37" t="s">
        <v>149</v>
      </c>
      <c r="J14" s="37" t="s">
        <v>430</v>
      </c>
      <c r="K14" s="37" t="s">
        <v>431</v>
      </c>
      <c r="L14" s="37" t="s">
        <v>413</v>
      </c>
      <c r="M14" s="37" t="s">
        <v>427</v>
      </c>
    </row>
    <row r="15" customFormat="false" ht="23.25" hidden="false" customHeight="true" outlineLevel="0" collapsed="false">
      <c r="A15" s="37" t="s">
        <v>493</v>
      </c>
      <c r="B15" s="37" t="s">
        <v>494</v>
      </c>
      <c r="C15" s="37" t="s">
        <v>410</v>
      </c>
      <c r="D15" s="37" t="s">
        <v>242</v>
      </c>
      <c r="E15" s="38" t="s">
        <v>86</v>
      </c>
      <c r="F15" s="37" t="s">
        <v>63</v>
      </c>
      <c r="G15" s="37" t="s">
        <v>47</v>
      </c>
      <c r="H15" s="42" t="s">
        <v>83</v>
      </c>
      <c r="I15" s="37" t="s">
        <v>149</v>
      </c>
      <c r="J15" s="37" t="s">
        <v>495</v>
      </c>
      <c r="K15" s="37" t="s">
        <v>496</v>
      </c>
      <c r="L15" s="37" t="s">
        <v>246</v>
      </c>
      <c r="M15" s="37" t="s">
        <v>340</v>
      </c>
    </row>
    <row r="16" customFormat="false" ht="23.25" hidden="false" customHeight="true" outlineLevel="0" collapsed="false">
      <c r="A16" s="37" t="s">
        <v>497</v>
      </c>
      <c r="B16" s="37" t="s">
        <v>498</v>
      </c>
      <c r="C16" s="37" t="s">
        <v>410</v>
      </c>
      <c r="D16" s="37" t="s">
        <v>242</v>
      </c>
      <c r="E16" s="38" t="s">
        <v>86</v>
      </c>
      <c r="F16" s="37" t="s">
        <v>63</v>
      </c>
      <c r="G16" s="37" t="s">
        <v>47</v>
      </c>
      <c r="H16" s="42" t="s">
        <v>83</v>
      </c>
      <c r="I16" s="37" t="s">
        <v>149</v>
      </c>
      <c r="J16" s="37" t="s">
        <v>499</v>
      </c>
      <c r="K16" s="37" t="s">
        <v>500</v>
      </c>
      <c r="L16" s="37" t="s">
        <v>246</v>
      </c>
      <c r="M16" s="37" t="s">
        <v>340</v>
      </c>
    </row>
    <row r="17" customFormat="false" ht="23.25" hidden="false" customHeight="true" outlineLevel="0" collapsed="false">
      <c r="A17" s="37" t="s">
        <v>501</v>
      </c>
      <c r="B17" s="37" t="s">
        <v>502</v>
      </c>
      <c r="C17" s="37" t="s">
        <v>410</v>
      </c>
      <c r="D17" s="37" t="s">
        <v>242</v>
      </c>
      <c r="E17" s="38" t="s">
        <v>86</v>
      </c>
      <c r="F17" s="37" t="s">
        <v>48</v>
      </c>
      <c r="G17" s="37" t="s">
        <v>47</v>
      </c>
      <c r="H17" s="42" t="s">
        <v>83</v>
      </c>
      <c r="I17" s="37" t="s">
        <v>149</v>
      </c>
      <c r="J17" s="37" t="s">
        <v>503</v>
      </c>
      <c r="K17" s="37" t="s">
        <v>504</v>
      </c>
      <c r="L17" s="37" t="s">
        <v>505</v>
      </c>
      <c r="M17" s="37" t="s">
        <v>462</v>
      </c>
    </row>
    <row r="18" customFormat="false" ht="23.25" hidden="false" customHeight="true" outlineLevel="0" collapsed="false">
      <c r="A18" s="37" t="s">
        <v>506</v>
      </c>
      <c r="B18" s="37" t="s">
        <v>507</v>
      </c>
      <c r="C18" s="37" t="s">
        <v>410</v>
      </c>
      <c r="D18" s="37" t="s">
        <v>242</v>
      </c>
      <c r="E18" s="38" t="s">
        <v>86</v>
      </c>
      <c r="F18" s="37" t="s">
        <v>63</v>
      </c>
      <c r="G18" s="37" t="s">
        <v>47</v>
      </c>
      <c r="H18" s="42" t="s">
        <v>83</v>
      </c>
      <c r="I18" s="37" t="s">
        <v>149</v>
      </c>
      <c r="J18" s="37" t="s">
        <v>508</v>
      </c>
      <c r="K18" s="37" t="s">
        <v>509</v>
      </c>
      <c r="L18" s="37" t="s">
        <v>246</v>
      </c>
      <c r="M18" s="37" t="s">
        <v>510</v>
      </c>
    </row>
    <row r="19" customFormat="false" ht="23.25" hidden="false" customHeight="true" outlineLevel="0" collapsed="false">
      <c r="A19" s="37" t="s">
        <v>511</v>
      </c>
      <c r="B19" s="37" t="s">
        <v>512</v>
      </c>
      <c r="C19" s="37" t="s">
        <v>410</v>
      </c>
      <c r="D19" s="37" t="s">
        <v>242</v>
      </c>
      <c r="E19" s="38" t="s">
        <v>86</v>
      </c>
      <c r="F19" s="37" t="s">
        <v>63</v>
      </c>
      <c r="G19" s="37" t="s">
        <v>47</v>
      </c>
      <c r="H19" s="42" t="s">
        <v>83</v>
      </c>
      <c r="I19" s="37" t="s">
        <v>149</v>
      </c>
      <c r="J19" s="37" t="s">
        <v>513</v>
      </c>
      <c r="K19" s="37" t="s">
        <v>514</v>
      </c>
      <c r="L19" s="37" t="s">
        <v>246</v>
      </c>
      <c r="M19" s="37" t="s">
        <v>462</v>
      </c>
    </row>
    <row r="20" customFormat="false" ht="23.25" hidden="false" customHeight="true" outlineLevel="0" collapsed="false">
      <c r="A20" s="37" t="s">
        <v>515</v>
      </c>
      <c r="B20" s="37" t="s">
        <v>516</v>
      </c>
      <c r="C20" s="37" t="s">
        <v>410</v>
      </c>
      <c r="D20" s="37" t="s">
        <v>156</v>
      </c>
      <c r="E20" s="38" t="s">
        <v>86</v>
      </c>
      <c r="F20" s="37" t="s">
        <v>63</v>
      </c>
      <c r="G20" s="37" t="s">
        <v>47</v>
      </c>
      <c r="H20" s="42" t="s">
        <v>83</v>
      </c>
      <c r="I20" s="37" t="s">
        <v>149</v>
      </c>
      <c r="J20" s="37" t="s">
        <v>517</v>
      </c>
      <c r="K20" s="37" t="s">
        <v>518</v>
      </c>
      <c r="L20" s="37" t="s">
        <v>519</v>
      </c>
      <c r="M20" s="37" t="s">
        <v>462</v>
      </c>
    </row>
    <row r="21" customFormat="false" ht="23.25" hidden="false" customHeight="true" outlineLevel="0" collapsed="false">
      <c r="A21" s="37" t="s">
        <v>520</v>
      </c>
      <c r="B21" s="37" t="s">
        <v>521</v>
      </c>
      <c r="C21" s="37" t="s">
        <v>410</v>
      </c>
      <c r="D21" s="37" t="s">
        <v>156</v>
      </c>
      <c r="E21" s="41" t="s">
        <v>88</v>
      </c>
      <c r="F21" s="37" t="s">
        <v>63</v>
      </c>
      <c r="G21" s="37" t="s">
        <v>47</v>
      </c>
      <c r="H21" s="42" t="s">
        <v>83</v>
      </c>
      <c r="I21" s="37" t="s">
        <v>149</v>
      </c>
      <c r="J21" s="37" t="s">
        <v>522</v>
      </c>
      <c r="K21" s="37" t="s">
        <v>523</v>
      </c>
      <c r="L21" s="37" t="s">
        <v>246</v>
      </c>
      <c r="M21" s="37" t="s">
        <v>462</v>
      </c>
    </row>
    <row r="22" customFormat="false" ht="23.25" hidden="false" customHeight="true" outlineLevel="0" collapsed="false">
      <c r="A22" s="37" t="s">
        <v>524</v>
      </c>
      <c r="B22" s="37" t="s">
        <v>525</v>
      </c>
      <c r="C22" s="37" t="s">
        <v>410</v>
      </c>
      <c r="D22" s="37" t="s">
        <v>156</v>
      </c>
      <c r="E22" s="38" t="s">
        <v>86</v>
      </c>
      <c r="F22" s="37" t="s">
        <v>63</v>
      </c>
      <c r="G22" s="37" t="s">
        <v>47</v>
      </c>
      <c r="H22" s="42" t="s">
        <v>83</v>
      </c>
      <c r="I22" s="37" t="s">
        <v>149</v>
      </c>
      <c r="J22" s="37" t="s">
        <v>526</v>
      </c>
      <c r="K22" s="37" t="s">
        <v>527</v>
      </c>
      <c r="L22" s="37" t="s">
        <v>246</v>
      </c>
      <c r="M22" s="37" t="s">
        <v>462</v>
      </c>
    </row>
    <row r="23" customFormat="false" ht="23.25" hidden="false" customHeight="true" outlineLevel="0" collapsed="false">
      <c r="A23" s="37" t="s">
        <v>608</v>
      </c>
      <c r="B23" s="37" t="s">
        <v>609</v>
      </c>
      <c r="C23" s="37" t="s">
        <v>410</v>
      </c>
      <c r="D23" s="37" t="s">
        <v>242</v>
      </c>
      <c r="E23" s="38" t="s">
        <v>86</v>
      </c>
      <c r="F23" s="37" t="s">
        <v>63</v>
      </c>
      <c r="G23" s="37" t="s">
        <v>47</v>
      </c>
      <c r="H23" s="42" t="s">
        <v>83</v>
      </c>
      <c r="I23" s="37" t="s">
        <v>149</v>
      </c>
      <c r="J23" s="37" t="s">
        <v>610</v>
      </c>
      <c r="K23" s="37" t="s">
        <v>611</v>
      </c>
      <c r="L23" s="37" t="s">
        <v>246</v>
      </c>
      <c r="M23" s="37" t="s">
        <v>612</v>
      </c>
    </row>
    <row r="24" customFormat="false" ht="15" hidden="false" customHeight="true" outlineLevel="0" collapsed="false">
      <c r="A24" s="37" t="s">
        <v>622</v>
      </c>
      <c r="B24" s="37" t="s">
        <v>623</v>
      </c>
      <c r="C24" s="37" t="s">
        <v>410</v>
      </c>
      <c r="D24" s="37" t="s">
        <v>168</v>
      </c>
      <c r="E24" s="38" t="s">
        <v>86</v>
      </c>
      <c r="F24" s="37" t="s">
        <v>63</v>
      </c>
      <c r="G24" s="37" t="s">
        <v>97</v>
      </c>
      <c r="H24" s="42" t="s">
        <v>83</v>
      </c>
      <c r="I24" s="37" t="s">
        <v>149</v>
      </c>
      <c r="J24" s="37" t="s">
        <v>624</v>
      </c>
      <c r="K24" s="37" t="s">
        <v>625</v>
      </c>
      <c r="L24" s="37" t="s">
        <v>626</v>
      </c>
      <c r="M24" s="37" t="s">
        <v>340</v>
      </c>
    </row>
    <row r="25" customFormat="false" ht="79.5" hidden="false" customHeight="true" outlineLevel="0" collapsed="false">
      <c r="A25" s="37" t="s">
        <v>748</v>
      </c>
      <c r="B25" s="37" t="s">
        <v>749</v>
      </c>
      <c r="C25" s="37" t="s">
        <v>410</v>
      </c>
      <c r="D25" s="37" t="s">
        <v>242</v>
      </c>
      <c r="E25" s="38" t="s">
        <v>86</v>
      </c>
      <c r="F25" s="37" t="s">
        <v>750</v>
      </c>
      <c r="G25" s="37" t="s">
        <v>47</v>
      </c>
      <c r="H25" s="40" t="s">
        <v>85</v>
      </c>
      <c r="I25" s="37" t="s">
        <v>149</v>
      </c>
      <c r="J25" s="37" t="s">
        <v>751</v>
      </c>
      <c r="K25" s="37" t="s">
        <v>752</v>
      </c>
      <c r="L25" s="37" t="s">
        <v>753</v>
      </c>
      <c r="M25" s="37" t="s">
        <v>754</v>
      </c>
    </row>
  </sheetData>
  <autoFilter ref="A1:M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14843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36" t="s">
        <v>136</v>
      </c>
      <c r="B1" s="36" t="s">
        <v>137</v>
      </c>
      <c r="C1" s="36" t="s">
        <v>138</v>
      </c>
      <c r="D1" s="36" t="s">
        <v>139</v>
      </c>
      <c r="E1" s="36" t="s">
        <v>82</v>
      </c>
      <c r="F1" s="36" t="s">
        <v>44</v>
      </c>
      <c r="G1" s="36" t="s">
        <v>140</v>
      </c>
      <c r="H1" s="36" t="s">
        <v>3</v>
      </c>
      <c r="I1" s="36" t="s">
        <v>141</v>
      </c>
      <c r="J1" s="36" t="s">
        <v>185</v>
      </c>
      <c r="K1" s="36" t="s">
        <v>142</v>
      </c>
      <c r="L1" s="36" t="s">
        <v>143</v>
      </c>
      <c r="M1" s="36" t="s">
        <v>186</v>
      </c>
    </row>
    <row r="2" customFormat="false" ht="124.5" hidden="false" customHeight="true" outlineLevel="0" collapsed="false">
      <c r="A2" s="37" t="s">
        <v>173</v>
      </c>
      <c r="B2" s="37" t="s">
        <v>552</v>
      </c>
      <c r="C2" s="37" t="s">
        <v>250</v>
      </c>
      <c r="D2" s="37" t="s">
        <v>156</v>
      </c>
      <c r="E2" s="38" t="s">
        <v>86</v>
      </c>
      <c r="F2" s="37" t="s">
        <v>243</v>
      </c>
      <c r="G2" s="37" t="s">
        <v>175</v>
      </c>
      <c r="H2" s="40" t="s">
        <v>85</v>
      </c>
      <c r="I2" s="37" t="s">
        <v>149</v>
      </c>
      <c r="J2" s="37" t="s">
        <v>553</v>
      </c>
      <c r="K2" s="37" t="s">
        <v>554</v>
      </c>
      <c r="L2" s="37" t="s">
        <v>555</v>
      </c>
      <c r="M2" s="37" t="s">
        <v>556</v>
      </c>
    </row>
    <row r="3" customFormat="false" ht="157.5" hidden="false" customHeight="true" outlineLevel="0" collapsed="false">
      <c r="A3" s="37" t="s">
        <v>546</v>
      </c>
      <c r="B3" s="37" t="s">
        <v>547</v>
      </c>
      <c r="C3" s="37" t="s">
        <v>374</v>
      </c>
      <c r="D3" s="37" t="s">
        <v>168</v>
      </c>
      <c r="E3" s="38" t="s">
        <v>86</v>
      </c>
      <c r="F3" s="37" t="s">
        <v>210</v>
      </c>
      <c r="G3" s="37" t="s">
        <v>548</v>
      </c>
      <c r="H3" s="40" t="s">
        <v>85</v>
      </c>
      <c r="I3" s="37" t="s">
        <v>149</v>
      </c>
      <c r="J3" s="37" t="s">
        <v>549</v>
      </c>
      <c r="K3" s="37" t="s">
        <v>550</v>
      </c>
      <c r="L3" s="37" t="s">
        <v>246</v>
      </c>
      <c r="M3" s="37" t="s">
        <v>551</v>
      </c>
    </row>
    <row r="4" customFormat="false" ht="135.75" hidden="false" customHeight="true" outlineLevel="0" collapsed="false">
      <c r="A4" s="37" t="s">
        <v>721</v>
      </c>
      <c r="B4" s="37" t="s">
        <v>722</v>
      </c>
      <c r="C4" s="37" t="s">
        <v>723</v>
      </c>
      <c r="D4" s="37" t="s">
        <v>724</v>
      </c>
      <c r="E4" s="38" t="s">
        <v>86</v>
      </c>
      <c r="F4" s="37" t="s">
        <v>725</v>
      </c>
      <c r="G4" s="37" t="s">
        <v>726</v>
      </c>
      <c r="H4" s="43" t="s">
        <v>87</v>
      </c>
      <c r="I4" s="37" t="s">
        <v>727</v>
      </c>
      <c r="J4" s="37" t="s">
        <v>728</v>
      </c>
      <c r="K4" s="37" t="s">
        <v>729</v>
      </c>
      <c r="L4" s="37" t="s">
        <v>730</v>
      </c>
      <c r="M4" s="37" t="s">
        <v>731</v>
      </c>
    </row>
    <row r="5" customFormat="false" ht="147" hidden="false" customHeight="true" outlineLevel="0" collapsed="false">
      <c r="A5" s="37" t="s">
        <v>59</v>
      </c>
      <c r="B5" s="37" t="s">
        <v>732</v>
      </c>
      <c r="C5" s="37" t="s">
        <v>723</v>
      </c>
      <c r="D5" s="37" t="s">
        <v>724</v>
      </c>
      <c r="E5" s="38" t="s">
        <v>86</v>
      </c>
      <c r="F5" s="37" t="s">
        <v>725</v>
      </c>
      <c r="G5" s="37" t="s">
        <v>726</v>
      </c>
      <c r="H5" s="43" t="s">
        <v>87</v>
      </c>
      <c r="I5" s="37" t="s">
        <v>727</v>
      </c>
      <c r="J5" s="37" t="s">
        <v>733</v>
      </c>
      <c r="K5" s="37" t="s">
        <v>734</v>
      </c>
      <c r="L5" s="37" t="s">
        <v>730</v>
      </c>
      <c r="M5" s="37" t="s">
        <v>731</v>
      </c>
    </row>
  </sheetData>
  <autoFilter ref="A1:M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14843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36" t="s">
        <v>136</v>
      </c>
      <c r="B1" s="36" t="s">
        <v>137</v>
      </c>
      <c r="C1" s="36" t="s">
        <v>138</v>
      </c>
      <c r="D1" s="36" t="s">
        <v>139</v>
      </c>
      <c r="E1" s="36" t="s">
        <v>82</v>
      </c>
      <c r="F1" s="36" t="s">
        <v>44</v>
      </c>
      <c r="G1" s="36" t="s">
        <v>140</v>
      </c>
      <c r="H1" s="36" t="s">
        <v>3</v>
      </c>
      <c r="I1" s="36" t="s">
        <v>141</v>
      </c>
      <c r="J1" s="36" t="s">
        <v>185</v>
      </c>
      <c r="K1" s="36" t="s">
        <v>142</v>
      </c>
      <c r="L1" s="36" t="s">
        <v>143</v>
      </c>
      <c r="M1" s="36" t="s">
        <v>186</v>
      </c>
    </row>
    <row r="2" customFormat="false" ht="157.5" hidden="false" customHeight="true" outlineLevel="0" collapsed="false">
      <c r="A2" s="37" t="s">
        <v>65</v>
      </c>
      <c r="B2" s="37" t="s">
        <v>557</v>
      </c>
      <c r="C2" s="37" t="s">
        <v>374</v>
      </c>
      <c r="D2" s="37" t="s">
        <v>168</v>
      </c>
      <c r="E2" s="38" t="s">
        <v>86</v>
      </c>
      <c r="F2" s="37" t="s">
        <v>210</v>
      </c>
      <c r="G2" s="37" t="s">
        <v>66</v>
      </c>
      <c r="H2" s="40" t="s">
        <v>85</v>
      </c>
      <c r="I2" s="37" t="s">
        <v>149</v>
      </c>
      <c r="J2" s="37" t="s">
        <v>558</v>
      </c>
      <c r="K2" s="37" t="s">
        <v>559</v>
      </c>
      <c r="L2" s="37" t="s">
        <v>560</v>
      </c>
      <c r="M2" s="37" t="s">
        <v>561</v>
      </c>
    </row>
    <row r="3" customFormat="false" ht="135.75" hidden="false" customHeight="true" outlineLevel="0" collapsed="false">
      <c r="A3" s="37" t="s">
        <v>647</v>
      </c>
      <c r="B3" s="37" t="s">
        <v>648</v>
      </c>
      <c r="C3" s="37" t="s">
        <v>629</v>
      </c>
      <c r="D3" s="37" t="s">
        <v>148</v>
      </c>
      <c r="E3" s="38" t="s">
        <v>86</v>
      </c>
      <c r="F3" s="37" t="s">
        <v>210</v>
      </c>
      <c r="G3" s="37" t="s">
        <v>649</v>
      </c>
      <c r="H3" s="40" t="s">
        <v>85</v>
      </c>
      <c r="I3" s="37" t="s">
        <v>149</v>
      </c>
      <c r="J3" s="37" t="s">
        <v>650</v>
      </c>
      <c r="K3" s="37" t="s">
        <v>651</v>
      </c>
      <c r="L3" s="37" t="s">
        <v>652</v>
      </c>
      <c r="M3" s="37" t="s">
        <v>653</v>
      </c>
    </row>
    <row r="4" customFormat="false" ht="157.5" hidden="false" customHeight="true" outlineLevel="0" collapsed="false">
      <c r="A4" s="37" t="s">
        <v>166</v>
      </c>
      <c r="B4" s="37" t="s">
        <v>535</v>
      </c>
      <c r="C4" s="37" t="s">
        <v>476</v>
      </c>
      <c r="D4" s="37" t="s">
        <v>168</v>
      </c>
      <c r="E4" s="38" t="s">
        <v>86</v>
      </c>
      <c r="F4" s="37" t="s">
        <v>251</v>
      </c>
      <c r="G4" s="37" t="s">
        <v>169</v>
      </c>
      <c r="H4" s="40" t="s">
        <v>85</v>
      </c>
      <c r="I4" s="37" t="s">
        <v>149</v>
      </c>
      <c r="J4" s="37" t="s">
        <v>536</v>
      </c>
      <c r="K4" s="37" t="s">
        <v>537</v>
      </c>
      <c r="L4" s="37" t="s">
        <v>538</v>
      </c>
      <c r="M4" s="37" t="s">
        <v>539</v>
      </c>
    </row>
    <row r="5" customFormat="false" ht="191.25" hidden="false" customHeight="true" outlineLevel="0" collapsed="false">
      <c r="A5" s="37" t="s">
        <v>528</v>
      </c>
      <c r="B5" s="37" t="s">
        <v>529</v>
      </c>
      <c r="C5" s="37" t="s">
        <v>350</v>
      </c>
      <c r="D5" s="37" t="s">
        <v>242</v>
      </c>
      <c r="E5" s="38" t="s">
        <v>86</v>
      </c>
      <c r="F5" s="37" t="s">
        <v>210</v>
      </c>
      <c r="G5" s="37" t="s">
        <v>530</v>
      </c>
      <c r="H5" s="40" t="s">
        <v>85</v>
      </c>
      <c r="I5" s="37" t="s">
        <v>149</v>
      </c>
      <c r="J5" s="37" t="s">
        <v>531</v>
      </c>
      <c r="K5" s="37" t="s">
        <v>532</v>
      </c>
      <c r="L5" s="37" t="s">
        <v>533</v>
      </c>
      <c r="M5" s="37" t="s">
        <v>534</v>
      </c>
    </row>
    <row r="6" customFormat="false" ht="191.25" hidden="false" customHeight="true" outlineLevel="0" collapsed="false">
      <c r="A6" s="37" t="s">
        <v>635</v>
      </c>
      <c r="B6" s="37" t="s">
        <v>636</v>
      </c>
      <c r="C6" s="37" t="s">
        <v>629</v>
      </c>
      <c r="D6" s="37" t="s">
        <v>168</v>
      </c>
      <c r="E6" s="38" t="s">
        <v>86</v>
      </c>
      <c r="F6" s="37" t="s">
        <v>243</v>
      </c>
      <c r="G6" s="37" t="s">
        <v>637</v>
      </c>
      <c r="H6" s="40" t="s">
        <v>85</v>
      </c>
      <c r="I6" s="37" t="s">
        <v>149</v>
      </c>
      <c r="J6" s="37" t="s">
        <v>638</v>
      </c>
      <c r="K6" s="37" t="s">
        <v>639</v>
      </c>
      <c r="L6" s="37" t="s">
        <v>246</v>
      </c>
      <c r="M6" s="37" t="s">
        <v>640</v>
      </c>
    </row>
    <row r="7" customFormat="false" ht="157.5" hidden="false" customHeight="true" outlineLevel="0" collapsed="false">
      <c r="A7" s="37" t="s">
        <v>627</v>
      </c>
      <c r="B7" s="37" t="s">
        <v>628</v>
      </c>
      <c r="C7" s="37" t="s">
        <v>629</v>
      </c>
      <c r="D7" s="37" t="s">
        <v>168</v>
      </c>
      <c r="E7" s="38" t="s">
        <v>86</v>
      </c>
      <c r="F7" s="37" t="s">
        <v>210</v>
      </c>
      <c r="G7" s="37" t="s">
        <v>630</v>
      </c>
      <c r="H7" s="40" t="s">
        <v>85</v>
      </c>
      <c r="I7" s="37" t="s">
        <v>149</v>
      </c>
      <c r="J7" s="37" t="s">
        <v>631</v>
      </c>
      <c r="K7" s="37" t="s">
        <v>632</v>
      </c>
      <c r="L7" s="37" t="s">
        <v>633</v>
      </c>
      <c r="M7" s="37" t="s">
        <v>634</v>
      </c>
    </row>
    <row r="8" customFormat="false" ht="124.5" hidden="false" customHeight="true" outlineLevel="0" collapsed="false">
      <c r="A8" s="37" t="s">
        <v>173</v>
      </c>
      <c r="B8" s="37" t="s">
        <v>552</v>
      </c>
      <c r="C8" s="37" t="s">
        <v>250</v>
      </c>
      <c r="D8" s="37" t="s">
        <v>156</v>
      </c>
      <c r="E8" s="38" t="s">
        <v>86</v>
      </c>
      <c r="F8" s="37" t="s">
        <v>243</v>
      </c>
      <c r="G8" s="37" t="s">
        <v>175</v>
      </c>
      <c r="H8" s="40" t="s">
        <v>85</v>
      </c>
      <c r="I8" s="37" t="s">
        <v>149</v>
      </c>
      <c r="J8" s="37" t="s">
        <v>553</v>
      </c>
      <c r="K8" s="37" t="s">
        <v>554</v>
      </c>
      <c r="L8" s="37" t="s">
        <v>555</v>
      </c>
      <c r="M8" s="37" t="s">
        <v>556</v>
      </c>
    </row>
    <row r="9" customFormat="false" ht="135.75" hidden="false" customHeight="true" outlineLevel="0" collapsed="false">
      <c r="A9" s="37" t="s">
        <v>562</v>
      </c>
      <c r="B9" s="37" t="s">
        <v>563</v>
      </c>
      <c r="C9" s="37" t="s">
        <v>374</v>
      </c>
      <c r="D9" s="37" t="s">
        <v>168</v>
      </c>
      <c r="E9" s="38" t="s">
        <v>86</v>
      </c>
      <c r="F9" s="37" t="s">
        <v>243</v>
      </c>
      <c r="G9" s="37" t="s">
        <v>564</v>
      </c>
      <c r="H9" s="40" t="s">
        <v>85</v>
      </c>
      <c r="I9" s="37" t="s">
        <v>149</v>
      </c>
      <c r="J9" s="37" t="s">
        <v>565</v>
      </c>
      <c r="K9" s="37" t="s">
        <v>566</v>
      </c>
      <c r="L9" s="37" t="s">
        <v>567</v>
      </c>
      <c r="M9" s="37" t="s">
        <v>568</v>
      </c>
    </row>
    <row r="10" customFormat="false" ht="147" hidden="false" customHeight="true" outlineLevel="0" collapsed="false">
      <c r="A10" s="37" t="s">
        <v>569</v>
      </c>
      <c r="B10" s="37" t="s">
        <v>570</v>
      </c>
      <c r="C10" s="37" t="s">
        <v>374</v>
      </c>
      <c r="D10" s="37" t="s">
        <v>168</v>
      </c>
      <c r="E10" s="38" t="s">
        <v>86</v>
      </c>
      <c r="F10" s="37" t="s">
        <v>251</v>
      </c>
      <c r="G10" s="37" t="s">
        <v>564</v>
      </c>
      <c r="H10" s="40" t="s">
        <v>85</v>
      </c>
      <c r="I10" s="37" t="s">
        <v>149</v>
      </c>
      <c r="J10" s="37" t="s">
        <v>571</v>
      </c>
      <c r="K10" s="37" t="s">
        <v>572</v>
      </c>
      <c r="L10" s="37" t="s">
        <v>573</v>
      </c>
      <c r="M10" s="37" t="s">
        <v>574</v>
      </c>
    </row>
    <row r="11" customFormat="false" ht="135.75" hidden="false" customHeight="true" outlineLevel="0" collapsed="false">
      <c r="A11" s="37" t="s">
        <v>540</v>
      </c>
      <c r="B11" s="37" t="s">
        <v>541</v>
      </c>
      <c r="C11" s="37" t="s">
        <v>374</v>
      </c>
      <c r="D11" s="37" t="s">
        <v>156</v>
      </c>
      <c r="E11" s="38" t="s">
        <v>86</v>
      </c>
      <c r="F11" s="37" t="s">
        <v>210</v>
      </c>
      <c r="G11" s="37" t="s">
        <v>542</v>
      </c>
      <c r="H11" s="40" t="s">
        <v>85</v>
      </c>
      <c r="I11" s="37" t="s">
        <v>149</v>
      </c>
      <c r="J11" s="37" t="s">
        <v>543</v>
      </c>
      <c r="K11" s="37" t="s">
        <v>544</v>
      </c>
      <c r="L11" s="37" t="s">
        <v>246</v>
      </c>
      <c r="M11" s="37" t="s">
        <v>545</v>
      </c>
    </row>
    <row r="12" customFormat="false" ht="157.5" hidden="false" customHeight="true" outlineLevel="0" collapsed="false">
      <c r="A12" s="37" t="s">
        <v>546</v>
      </c>
      <c r="B12" s="37" t="s">
        <v>547</v>
      </c>
      <c r="C12" s="37" t="s">
        <v>374</v>
      </c>
      <c r="D12" s="37" t="s">
        <v>168</v>
      </c>
      <c r="E12" s="38" t="s">
        <v>86</v>
      </c>
      <c r="F12" s="37" t="s">
        <v>210</v>
      </c>
      <c r="G12" s="37" t="s">
        <v>548</v>
      </c>
      <c r="H12" s="40" t="s">
        <v>85</v>
      </c>
      <c r="I12" s="37" t="s">
        <v>149</v>
      </c>
      <c r="J12" s="37" t="s">
        <v>549</v>
      </c>
      <c r="K12" s="37" t="s">
        <v>550</v>
      </c>
      <c r="L12" s="37" t="s">
        <v>246</v>
      </c>
      <c r="M12" s="37" t="s">
        <v>551</v>
      </c>
    </row>
    <row r="13" customFormat="false" ht="23.25" hidden="false" customHeight="true" outlineLevel="0" collapsed="false">
      <c r="A13" s="37" t="s">
        <v>497</v>
      </c>
      <c r="B13" s="37" t="s">
        <v>498</v>
      </c>
      <c r="C13" s="37" t="s">
        <v>410</v>
      </c>
      <c r="D13" s="37" t="s">
        <v>242</v>
      </c>
      <c r="E13" s="38" t="s">
        <v>86</v>
      </c>
      <c r="F13" s="37" t="s">
        <v>63</v>
      </c>
      <c r="G13" s="37" t="s">
        <v>47</v>
      </c>
      <c r="H13" s="42" t="s">
        <v>83</v>
      </c>
      <c r="I13" s="37" t="s">
        <v>149</v>
      </c>
      <c r="J13" s="37" t="s">
        <v>499</v>
      </c>
      <c r="K13" s="37" t="s">
        <v>500</v>
      </c>
      <c r="L13" s="37" t="s">
        <v>246</v>
      </c>
      <c r="M13" s="37" t="s">
        <v>340</v>
      </c>
    </row>
    <row r="14" customFormat="false" ht="23.25" hidden="false" customHeight="true" outlineLevel="0" collapsed="false">
      <c r="A14" s="37" t="s">
        <v>501</v>
      </c>
      <c r="B14" s="37" t="s">
        <v>502</v>
      </c>
      <c r="C14" s="37" t="s">
        <v>410</v>
      </c>
      <c r="D14" s="37" t="s">
        <v>242</v>
      </c>
      <c r="E14" s="38" t="s">
        <v>86</v>
      </c>
      <c r="F14" s="37" t="s">
        <v>48</v>
      </c>
      <c r="G14" s="37" t="s">
        <v>47</v>
      </c>
      <c r="H14" s="42" t="s">
        <v>83</v>
      </c>
      <c r="I14" s="37" t="s">
        <v>149</v>
      </c>
      <c r="J14" s="37" t="s">
        <v>503</v>
      </c>
      <c r="K14" s="37" t="s">
        <v>504</v>
      </c>
      <c r="L14" s="37" t="s">
        <v>505</v>
      </c>
      <c r="M14" s="37" t="s">
        <v>462</v>
      </c>
    </row>
    <row r="15" customFormat="false" ht="23.25" hidden="false" customHeight="true" outlineLevel="0" collapsed="false">
      <c r="A15" s="37" t="s">
        <v>506</v>
      </c>
      <c r="B15" s="37" t="s">
        <v>507</v>
      </c>
      <c r="C15" s="37" t="s">
        <v>410</v>
      </c>
      <c r="D15" s="37" t="s">
        <v>242</v>
      </c>
      <c r="E15" s="38" t="s">
        <v>86</v>
      </c>
      <c r="F15" s="37" t="s">
        <v>63</v>
      </c>
      <c r="G15" s="37" t="s">
        <v>47</v>
      </c>
      <c r="H15" s="42" t="s">
        <v>83</v>
      </c>
      <c r="I15" s="37" t="s">
        <v>149</v>
      </c>
      <c r="J15" s="37" t="s">
        <v>508</v>
      </c>
      <c r="K15" s="37" t="s">
        <v>509</v>
      </c>
      <c r="L15" s="37" t="s">
        <v>246</v>
      </c>
      <c r="M15" s="37" t="s">
        <v>510</v>
      </c>
    </row>
    <row r="16" customFormat="false" ht="23.25" hidden="false" customHeight="true" outlineLevel="0" collapsed="false">
      <c r="A16" s="37" t="s">
        <v>511</v>
      </c>
      <c r="B16" s="37" t="s">
        <v>512</v>
      </c>
      <c r="C16" s="37" t="s">
        <v>410</v>
      </c>
      <c r="D16" s="37" t="s">
        <v>242</v>
      </c>
      <c r="E16" s="38" t="s">
        <v>86</v>
      </c>
      <c r="F16" s="37" t="s">
        <v>63</v>
      </c>
      <c r="G16" s="37" t="s">
        <v>47</v>
      </c>
      <c r="H16" s="42" t="s">
        <v>83</v>
      </c>
      <c r="I16" s="37" t="s">
        <v>149</v>
      </c>
      <c r="J16" s="37" t="s">
        <v>513</v>
      </c>
      <c r="K16" s="37" t="s">
        <v>514</v>
      </c>
      <c r="L16" s="37" t="s">
        <v>246</v>
      </c>
      <c r="M16" s="37" t="s">
        <v>462</v>
      </c>
    </row>
    <row r="17" customFormat="false" ht="23.25" hidden="false" customHeight="true" outlineLevel="0" collapsed="false">
      <c r="A17" s="37" t="s">
        <v>515</v>
      </c>
      <c r="B17" s="37" t="s">
        <v>516</v>
      </c>
      <c r="C17" s="37" t="s">
        <v>410</v>
      </c>
      <c r="D17" s="37" t="s">
        <v>156</v>
      </c>
      <c r="E17" s="38" t="s">
        <v>86</v>
      </c>
      <c r="F17" s="37" t="s">
        <v>63</v>
      </c>
      <c r="G17" s="37" t="s">
        <v>47</v>
      </c>
      <c r="H17" s="42" t="s">
        <v>83</v>
      </c>
      <c r="I17" s="37" t="s">
        <v>149</v>
      </c>
      <c r="J17" s="37" t="s">
        <v>517</v>
      </c>
      <c r="K17" s="37" t="s">
        <v>518</v>
      </c>
      <c r="L17" s="37" t="s">
        <v>519</v>
      </c>
      <c r="M17" s="37" t="s">
        <v>462</v>
      </c>
    </row>
    <row r="18" customFormat="false" ht="23.25" hidden="false" customHeight="true" outlineLevel="0" collapsed="false">
      <c r="A18" s="37" t="s">
        <v>520</v>
      </c>
      <c r="B18" s="37" t="s">
        <v>521</v>
      </c>
      <c r="C18" s="37" t="s">
        <v>410</v>
      </c>
      <c r="D18" s="37" t="s">
        <v>156</v>
      </c>
      <c r="E18" s="41" t="s">
        <v>88</v>
      </c>
      <c r="F18" s="37" t="s">
        <v>63</v>
      </c>
      <c r="G18" s="37" t="s">
        <v>47</v>
      </c>
      <c r="H18" s="42" t="s">
        <v>83</v>
      </c>
      <c r="I18" s="37" t="s">
        <v>149</v>
      </c>
      <c r="J18" s="37" t="s">
        <v>522</v>
      </c>
      <c r="K18" s="37" t="s">
        <v>523</v>
      </c>
      <c r="L18" s="37" t="s">
        <v>246</v>
      </c>
      <c r="M18" s="37" t="s">
        <v>462</v>
      </c>
    </row>
    <row r="19" customFormat="false" ht="23.25" hidden="false" customHeight="true" outlineLevel="0" collapsed="false">
      <c r="A19" s="37" t="s">
        <v>524</v>
      </c>
      <c r="B19" s="37" t="s">
        <v>525</v>
      </c>
      <c r="C19" s="37" t="s">
        <v>410</v>
      </c>
      <c r="D19" s="37" t="s">
        <v>156</v>
      </c>
      <c r="E19" s="38" t="s">
        <v>86</v>
      </c>
      <c r="F19" s="37" t="s">
        <v>63</v>
      </c>
      <c r="G19" s="37" t="s">
        <v>47</v>
      </c>
      <c r="H19" s="42" t="s">
        <v>83</v>
      </c>
      <c r="I19" s="37" t="s">
        <v>149</v>
      </c>
      <c r="J19" s="37" t="s">
        <v>526</v>
      </c>
      <c r="K19" s="37" t="s">
        <v>527</v>
      </c>
      <c r="L19" s="37" t="s">
        <v>246</v>
      </c>
      <c r="M19" s="37" t="s">
        <v>462</v>
      </c>
    </row>
  </sheetData>
  <autoFilter ref="A1:M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14843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36" t="s">
        <v>136</v>
      </c>
      <c r="B1" s="36" t="s">
        <v>137</v>
      </c>
      <c r="C1" s="36" t="s">
        <v>138</v>
      </c>
      <c r="D1" s="36" t="s">
        <v>139</v>
      </c>
      <c r="E1" s="36" t="s">
        <v>82</v>
      </c>
      <c r="F1" s="36" t="s">
        <v>44</v>
      </c>
      <c r="G1" s="36" t="s">
        <v>140</v>
      </c>
      <c r="H1" s="36" t="s">
        <v>3</v>
      </c>
      <c r="I1" s="36" t="s">
        <v>141</v>
      </c>
      <c r="J1" s="36" t="s">
        <v>185</v>
      </c>
      <c r="K1" s="36" t="s">
        <v>142</v>
      </c>
      <c r="L1" s="36" t="s">
        <v>143</v>
      </c>
      <c r="M1" s="36" t="s">
        <v>186</v>
      </c>
    </row>
    <row r="2" customFormat="false" ht="180" hidden="false" customHeight="true" outlineLevel="0" collapsed="false">
      <c r="A2" s="37" t="s">
        <v>583</v>
      </c>
      <c r="B2" s="37" t="s">
        <v>584</v>
      </c>
      <c r="C2" s="37" t="s">
        <v>577</v>
      </c>
      <c r="D2" s="37" t="s">
        <v>156</v>
      </c>
      <c r="E2" s="38" t="s">
        <v>86</v>
      </c>
      <c r="F2" s="37" t="s">
        <v>190</v>
      </c>
      <c r="G2" s="37" t="s">
        <v>101</v>
      </c>
      <c r="H2" s="40" t="s">
        <v>85</v>
      </c>
      <c r="I2" s="37" t="s">
        <v>149</v>
      </c>
      <c r="J2" s="37" t="s">
        <v>585</v>
      </c>
      <c r="K2" s="37" t="s">
        <v>586</v>
      </c>
      <c r="L2" s="37" t="s">
        <v>587</v>
      </c>
      <c r="M2" s="37" t="s">
        <v>588</v>
      </c>
    </row>
    <row r="3" customFormat="false" ht="157.5" hidden="false" customHeight="true" outlineLevel="0" collapsed="false">
      <c r="A3" s="37" t="s">
        <v>596</v>
      </c>
      <c r="B3" s="37" t="s">
        <v>597</v>
      </c>
      <c r="C3" s="37" t="s">
        <v>577</v>
      </c>
      <c r="D3" s="37" t="s">
        <v>242</v>
      </c>
      <c r="E3" s="38" t="s">
        <v>86</v>
      </c>
      <c r="F3" s="37" t="s">
        <v>210</v>
      </c>
      <c r="G3" s="37" t="s">
        <v>101</v>
      </c>
      <c r="H3" s="40" t="s">
        <v>85</v>
      </c>
      <c r="I3" s="37" t="s">
        <v>149</v>
      </c>
      <c r="J3" s="37" t="s">
        <v>598</v>
      </c>
      <c r="K3" s="37" t="s">
        <v>599</v>
      </c>
      <c r="L3" s="37" t="s">
        <v>600</v>
      </c>
      <c r="M3" s="37" t="s">
        <v>601</v>
      </c>
    </row>
    <row r="4" customFormat="false" ht="168.75" hidden="false" customHeight="true" outlineLevel="0" collapsed="false">
      <c r="A4" s="37" t="s">
        <v>575</v>
      </c>
      <c r="B4" s="37" t="s">
        <v>576</v>
      </c>
      <c r="C4" s="37" t="s">
        <v>577</v>
      </c>
      <c r="D4" s="37" t="s">
        <v>168</v>
      </c>
      <c r="E4" s="38" t="s">
        <v>86</v>
      </c>
      <c r="F4" s="37" t="s">
        <v>210</v>
      </c>
      <c r="G4" s="37" t="s">
        <v>578</v>
      </c>
      <c r="H4" s="40" t="s">
        <v>85</v>
      </c>
      <c r="I4" s="37" t="s">
        <v>149</v>
      </c>
      <c r="J4" s="37" t="s">
        <v>579</v>
      </c>
      <c r="K4" s="37" t="s">
        <v>580</v>
      </c>
      <c r="L4" s="37" t="s">
        <v>581</v>
      </c>
      <c r="M4" s="37" t="s">
        <v>582</v>
      </c>
    </row>
    <row r="5" customFormat="false" ht="157.5" hidden="false" customHeight="true" outlineLevel="0" collapsed="false">
      <c r="A5" s="37" t="s">
        <v>602</v>
      </c>
      <c r="B5" s="37" t="s">
        <v>603</v>
      </c>
      <c r="C5" s="37" t="s">
        <v>577</v>
      </c>
      <c r="D5" s="37" t="s">
        <v>168</v>
      </c>
      <c r="E5" s="38" t="s">
        <v>86</v>
      </c>
      <c r="F5" s="37" t="s">
        <v>210</v>
      </c>
      <c r="G5" s="37" t="s">
        <v>578</v>
      </c>
      <c r="H5" s="40" t="s">
        <v>85</v>
      </c>
      <c r="I5" s="37" t="s">
        <v>149</v>
      </c>
      <c r="J5" s="37" t="s">
        <v>604</v>
      </c>
      <c r="K5" s="37" t="s">
        <v>605</v>
      </c>
      <c r="L5" s="37" t="s">
        <v>606</v>
      </c>
      <c r="M5" s="37" t="s">
        <v>607</v>
      </c>
    </row>
    <row r="6" customFormat="false" ht="168.75" hidden="false" customHeight="true" outlineLevel="0" collapsed="false">
      <c r="A6" s="37" t="s">
        <v>589</v>
      </c>
      <c r="B6" s="37" t="s">
        <v>590</v>
      </c>
      <c r="C6" s="37" t="s">
        <v>577</v>
      </c>
      <c r="D6" s="37" t="s">
        <v>156</v>
      </c>
      <c r="E6" s="38" t="s">
        <v>86</v>
      </c>
      <c r="F6" s="37" t="s">
        <v>210</v>
      </c>
      <c r="G6" s="37" t="s">
        <v>591</v>
      </c>
      <c r="H6" s="40" t="s">
        <v>85</v>
      </c>
      <c r="I6" s="37" t="s">
        <v>149</v>
      </c>
      <c r="J6" s="37" t="s">
        <v>592</v>
      </c>
      <c r="K6" s="37" t="s">
        <v>593</v>
      </c>
      <c r="L6" s="37" t="s">
        <v>594</v>
      </c>
      <c r="M6" s="37" t="s">
        <v>595</v>
      </c>
    </row>
  </sheetData>
  <autoFilter ref="A1:M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14843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36" t="s">
        <v>136</v>
      </c>
      <c r="B1" s="36" t="s">
        <v>137</v>
      </c>
      <c r="C1" s="36" t="s">
        <v>138</v>
      </c>
      <c r="D1" s="36" t="s">
        <v>139</v>
      </c>
      <c r="E1" s="36" t="s">
        <v>82</v>
      </c>
      <c r="F1" s="36" t="s">
        <v>44</v>
      </c>
      <c r="G1" s="36" t="s">
        <v>140</v>
      </c>
      <c r="H1" s="36" t="s">
        <v>3</v>
      </c>
      <c r="I1" s="36" t="s">
        <v>141</v>
      </c>
      <c r="J1" s="36" t="s">
        <v>185</v>
      </c>
      <c r="K1" s="36" t="s">
        <v>142</v>
      </c>
      <c r="L1" s="36" t="s">
        <v>143</v>
      </c>
      <c r="M1" s="36" t="s">
        <v>186</v>
      </c>
    </row>
  </sheetData>
  <autoFilter ref="A1:M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14843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36" t="s">
        <v>136</v>
      </c>
      <c r="B1" s="36" t="s">
        <v>137</v>
      </c>
      <c r="C1" s="36" t="s">
        <v>138</v>
      </c>
      <c r="D1" s="36" t="s">
        <v>139</v>
      </c>
      <c r="E1" s="36" t="s">
        <v>82</v>
      </c>
      <c r="F1" s="36" t="s">
        <v>44</v>
      </c>
      <c r="G1" s="36" t="s">
        <v>140</v>
      </c>
      <c r="H1" s="36" t="s">
        <v>3</v>
      </c>
      <c r="I1" s="36" t="s">
        <v>141</v>
      </c>
      <c r="J1" s="36" t="s">
        <v>185</v>
      </c>
      <c r="K1" s="36" t="s">
        <v>142</v>
      </c>
      <c r="L1" s="36" t="s">
        <v>143</v>
      </c>
      <c r="M1" s="36" t="s">
        <v>186</v>
      </c>
    </row>
    <row r="2" customFormat="false" ht="135.75" hidden="false" customHeight="true" outlineLevel="0" collapsed="false">
      <c r="A2" s="37" t="s">
        <v>691</v>
      </c>
      <c r="B2" s="37" t="s">
        <v>692</v>
      </c>
      <c r="C2" s="37" t="s">
        <v>350</v>
      </c>
      <c r="D2" s="37" t="s">
        <v>156</v>
      </c>
      <c r="E2" s="41" t="s">
        <v>88</v>
      </c>
      <c r="F2" s="37" t="s">
        <v>251</v>
      </c>
      <c r="G2" s="37" t="s">
        <v>100</v>
      </c>
      <c r="H2" s="40" t="s">
        <v>85</v>
      </c>
      <c r="I2" s="37" t="s">
        <v>149</v>
      </c>
      <c r="J2" s="37" t="s">
        <v>693</v>
      </c>
      <c r="K2" s="37" t="s">
        <v>694</v>
      </c>
      <c r="L2" s="37" t="s">
        <v>695</v>
      </c>
      <c r="M2" s="37" t="s">
        <v>696</v>
      </c>
    </row>
    <row r="3" customFormat="false" ht="113.25" hidden="false" customHeight="true" outlineLevel="0" collapsed="false">
      <c r="A3" s="37" t="s">
        <v>702</v>
      </c>
      <c r="B3" s="37" t="s">
        <v>703</v>
      </c>
      <c r="C3" s="37" t="s">
        <v>350</v>
      </c>
      <c r="D3" s="37" t="s">
        <v>168</v>
      </c>
      <c r="E3" s="38" t="s">
        <v>86</v>
      </c>
      <c r="F3" s="37" t="s">
        <v>251</v>
      </c>
      <c r="G3" s="37" t="s">
        <v>100</v>
      </c>
      <c r="H3" s="40" t="s">
        <v>85</v>
      </c>
      <c r="I3" s="37" t="s">
        <v>149</v>
      </c>
      <c r="J3" s="37" t="s">
        <v>704</v>
      </c>
      <c r="K3" s="37" t="s">
        <v>705</v>
      </c>
      <c r="L3" s="37" t="s">
        <v>706</v>
      </c>
      <c r="M3" s="37" t="s">
        <v>707</v>
      </c>
    </row>
    <row r="4" customFormat="false" ht="157.5" hidden="false" customHeight="true" outlineLevel="0" collapsed="false">
      <c r="A4" s="37" t="s">
        <v>596</v>
      </c>
      <c r="B4" s="37" t="s">
        <v>597</v>
      </c>
      <c r="C4" s="37" t="s">
        <v>577</v>
      </c>
      <c r="D4" s="37" t="s">
        <v>242</v>
      </c>
      <c r="E4" s="38" t="s">
        <v>86</v>
      </c>
      <c r="F4" s="37" t="s">
        <v>210</v>
      </c>
      <c r="G4" s="37" t="s">
        <v>101</v>
      </c>
      <c r="H4" s="40" t="s">
        <v>85</v>
      </c>
      <c r="I4" s="37" t="s">
        <v>149</v>
      </c>
      <c r="J4" s="37" t="s">
        <v>598</v>
      </c>
      <c r="K4" s="37" t="s">
        <v>599</v>
      </c>
      <c r="L4" s="37" t="s">
        <v>600</v>
      </c>
      <c r="M4" s="37" t="s">
        <v>601</v>
      </c>
    </row>
    <row r="5" customFormat="false" ht="124.5" hidden="false" customHeight="true" outlineLevel="0" collapsed="false">
      <c r="A5" s="37" t="s">
        <v>641</v>
      </c>
      <c r="B5" s="37" t="s">
        <v>642</v>
      </c>
      <c r="C5" s="37" t="s">
        <v>629</v>
      </c>
      <c r="D5" s="37" t="s">
        <v>168</v>
      </c>
      <c r="E5" s="41" t="s">
        <v>88</v>
      </c>
      <c r="F5" s="37" t="s">
        <v>251</v>
      </c>
      <c r="G5" s="37" t="s">
        <v>102</v>
      </c>
      <c r="H5" s="40" t="s">
        <v>85</v>
      </c>
      <c r="I5" s="37" t="s">
        <v>149</v>
      </c>
      <c r="J5" s="37" t="s">
        <v>643</v>
      </c>
      <c r="K5" s="37" t="s">
        <v>644</v>
      </c>
      <c r="L5" s="37" t="s">
        <v>645</v>
      </c>
      <c r="M5" s="37" t="s">
        <v>646</v>
      </c>
    </row>
    <row r="6" customFormat="false" ht="135.75" hidden="false" customHeight="true" outlineLevel="0" collapsed="false">
      <c r="A6" s="37" t="s">
        <v>647</v>
      </c>
      <c r="B6" s="37" t="s">
        <v>648</v>
      </c>
      <c r="C6" s="37" t="s">
        <v>629</v>
      </c>
      <c r="D6" s="37" t="s">
        <v>148</v>
      </c>
      <c r="E6" s="38" t="s">
        <v>86</v>
      </c>
      <c r="F6" s="37" t="s">
        <v>210</v>
      </c>
      <c r="G6" s="37" t="s">
        <v>649</v>
      </c>
      <c r="H6" s="40" t="s">
        <v>85</v>
      </c>
      <c r="I6" s="37" t="s">
        <v>149</v>
      </c>
      <c r="J6" s="37" t="s">
        <v>650</v>
      </c>
      <c r="K6" s="37" t="s">
        <v>651</v>
      </c>
      <c r="L6" s="37" t="s">
        <v>652</v>
      </c>
      <c r="M6" s="37" t="s">
        <v>653</v>
      </c>
    </row>
    <row r="7" customFormat="false" ht="191.25" hidden="false" customHeight="true" outlineLevel="0" collapsed="false">
      <c r="A7" s="37" t="s">
        <v>528</v>
      </c>
      <c r="B7" s="37" t="s">
        <v>529</v>
      </c>
      <c r="C7" s="37" t="s">
        <v>350</v>
      </c>
      <c r="D7" s="37" t="s">
        <v>242</v>
      </c>
      <c r="E7" s="38" t="s">
        <v>86</v>
      </c>
      <c r="F7" s="37" t="s">
        <v>210</v>
      </c>
      <c r="G7" s="37" t="s">
        <v>530</v>
      </c>
      <c r="H7" s="40" t="s">
        <v>85</v>
      </c>
      <c r="I7" s="37" t="s">
        <v>149</v>
      </c>
      <c r="J7" s="37" t="s">
        <v>531</v>
      </c>
      <c r="K7" s="37" t="s">
        <v>532</v>
      </c>
      <c r="L7" s="37" t="s">
        <v>533</v>
      </c>
      <c r="M7" s="37" t="s">
        <v>534</v>
      </c>
    </row>
    <row r="8" customFormat="false" ht="191.25" hidden="false" customHeight="true" outlineLevel="0" collapsed="false">
      <c r="A8" s="37" t="s">
        <v>635</v>
      </c>
      <c r="B8" s="37" t="s">
        <v>636</v>
      </c>
      <c r="C8" s="37" t="s">
        <v>629</v>
      </c>
      <c r="D8" s="37" t="s">
        <v>168</v>
      </c>
      <c r="E8" s="38" t="s">
        <v>86</v>
      </c>
      <c r="F8" s="37" t="s">
        <v>243</v>
      </c>
      <c r="G8" s="37" t="s">
        <v>637</v>
      </c>
      <c r="H8" s="40" t="s">
        <v>85</v>
      </c>
      <c r="I8" s="37" t="s">
        <v>149</v>
      </c>
      <c r="J8" s="37" t="s">
        <v>638</v>
      </c>
      <c r="K8" s="37" t="s">
        <v>639</v>
      </c>
      <c r="L8" s="37" t="s">
        <v>246</v>
      </c>
      <c r="M8" s="37" t="s">
        <v>640</v>
      </c>
    </row>
    <row r="9" customFormat="false" ht="157.5" hidden="false" customHeight="true" outlineLevel="0" collapsed="false">
      <c r="A9" s="37" t="s">
        <v>627</v>
      </c>
      <c r="B9" s="37" t="s">
        <v>628</v>
      </c>
      <c r="C9" s="37" t="s">
        <v>629</v>
      </c>
      <c r="D9" s="37" t="s">
        <v>168</v>
      </c>
      <c r="E9" s="38" t="s">
        <v>86</v>
      </c>
      <c r="F9" s="37" t="s">
        <v>210</v>
      </c>
      <c r="G9" s="37" t="s">
        <v>630</v>
      </c>
      <c r="H9" s="40" t="s">
        <v>85</v>
      </c>
      <c r="I9" s="37" t="s">
        <v>149</v>
      </c>
      <c r="J9" s="37" t="s">
        <v>631</v>
      </c>
      <c r="K9" s="37" t="s">
        <v>632</v>
      </c>
      <c r="L9" s="37" t="s">
        <v>633</v>
      </c>
      <c r="M9" s="37" t="s">
        <v>634</v>
      </c>
    </row>
    <row r="10" customFormat="false" ht="157.5" hidden="false" customHeight="true" outlineLevel="0" collapsed="false">
      <c r="A10" s="37" t="s">
        <v>685</v>
      </c>
      <c r="B10" s="37" t="s">
        <v>686</v>
      </c>
      <c r="C10" s="37" t="s">
        <v>350</v>
      </c>
      <c r="D10" s="37" t="s">
        <v>242</v>
      </c>
      <c r="E10" s="38" t="s">
        <v>86</v>
      </c>
      <c r="F10" s="37" t="s">
        <v>210</v>
      </c>
      <c r="G10" s="37" t="s">
        <v>656</v>
      </c>
      <c r="H10" s="40" t="s">
        <v>85</v>
      </c>
      <c r="I10" s="37" t="s">
        <v>149</v>
      </c>
      <c r="J10" s="37" t="s">
        <v>687</v>
      </c>
      <c r="K10" s="37" t="s">
        <v>688</v>
      </c>
      <c r="L10" s="37" t="s">
        <v>689</v>
      </c>
      <c r="M10" s="37" t="s">
        <v>690</v>
      </c>
    </row>
    <row r="11" customFormat="false" ht="135.75" hidden="false" customHeight="true" outlineLevel="0" collapsed="false">
      <c r="A11" s="37" t="s">
        <v>673</v>
      </c>
      <c r="B11" s="37" t="s">
        <v>674</v>
      </c>
      <c r="C11" s="37" t="s">
        <v>350</v>
      </c>
      <c r="D11" s="37" t="s">
        <v>242</v>
      </c>
      <c r="E11" s="38" t="s">
        <v>86</v>
      </c>
      <c r="F11" s="37" t="s">
        <v>210</v>
      </c>
      <c r="G11" s="37" t="s">
        <v>669</v>
      </c>
      <c r="H11" s="40" t="s">
        <v>85</v>
      </c>
      <c r="I11" s="37" t="s">
        <v>149</v>
      </c>
      <c r="J11" s="37" t="s">
        <v>675</v>
      </c>
      <c r="K11" s="37" t="s">
        <v>676</v>
      </c>
      <c r="L11" s="37" t="s">
        <v>677</v>
      </c>
      <c r="M11" s="37" t="s">
        <v>678</v>
      </c>
    </row>
    <row r="12" customFormat="false" ht="113.25" hidden="false" customHeight="true" outlineLevel="0" collapsed="false">
      <c r="A12" s="37" t="s">
        <v>679</v>
      </c>
      <c r="B12" s="37" t="s">
        <v>680</v>
      </c>
      <c r="C12" s="37" t="s">
        <v>350</v>
      </c>
      <c r="D12" s="37" t="s">
        <v>242</v>
      </c>
      <c r="E12" s="38" t="s">
        <v>86</v>
      </c>
      <c r="F12" s="37" t="s">
        <v>251</v>
      </c>
      <c r="G12" s="37" t="s">
        <v>669</v>
      </c>
      <c r="H12" s="40" t="s">
        <v>85</v>
      </c>
      <c r="I12" s="37" t="s">
        <v>149</v>
      </c>
      <c r="J12" s="37" t="s">
        <v>681</v>
      </c>
      <c r="K12" s="37" t="s">
        <v>682</v>
      </c>
      <c r="L12" s="37" t="s">
        <v>683</v>
      </c>
      <c r="M12" s="37" t="s">
        <v>684</v>
      </c>
    </row>
    <row r="13" customFormat="false" ht="168.75" hidden="false" customHeight="true" outlineLevel="0" collapsed="false">
      <c r="A13" s="37" t="s">
        <v>708</v>
      </c>
      <c r="B13" s="37" t="s">
        <v>709</v>
      </c>
      <c r="C13" s="37" t="s">
        <v>350</v>
      </c>
      <c r="D13" s="37" t="s">
        <v>168</v>
      </c>
      <c r="E13" s="38" t="s">
        <v>86</v>
      </c>
      <c r="F13" s="37" t="s">
        <v>190</v>
      </c>
      <c r="G13" s="37" t="s">
        <v>710</v>
      </c>
      <c r="H13" s="40" t="s">
        <v>85</v>
      </c>
      <c r="I13" s="37" t="s">
        <v>149</v>
      </c>
      <c r="J13" s="37" t="s">
        <v>711</v>
      </c>
      <c r="K13" s="37" t="s">
        <v>712</v>
      </c>
      <c r="L13" s="37" t="s">
        <v>713</v>
      </c>
      <c r="M13" s="37" t="s">
        <v>714</v>
      </c>
    </row>
    <row r="14" customFormat="false" ht="157.5" hidden="false" customHeight="true" outlineLevel="0" collapsed="false">
      <c r="A14" s="37" t="s">
        <v>715</v>
      </c>
      <c r="B14" s="37" t="s">
        <v>716</v>
      </c>
      <c r="C14" s="37" t="s">
        <v>350</v>
      </c>
      <c r="D14" s="37" t="s">
        <v>168</v>
      </c>
      <c r="E14" s="38" t="s">
        <v>86</v>
      </c>
      <c r="F14" s="37" t="s">
        <v>251</v>
      </c>
      <c r="G14" s="37" t="s">
        <v>710</v>
      </c>
      <c r="H14" s="40" t="s">
        <v>85</v>
      </c>
      <c r="I14" s="37" t="s">
        <v>149</v>
      </c>
      <c r="J14" s="37" t="s">
        <v>717</v>
      </c>
      <c r="K14" s="37" t="s">
        <v>718</v>
      </c>
      <c r="L14" s="37" t="s">
        <v>719</v>
      </c>
      <c r="M14" s="37" t="s">
        <v>720</v>
      </c>
    </row>
    <row r="15" customFormat="false" ht="157.5" hidden="false" customHeight="true" outlineLevel="0" collapsed="false">
      <c r="A15" s="37" t="s">
        <v>602</v>
      </c>
      <c r="B15" s="37" t="s">
        <v>603</v>
      </c>
      <c r="C15" s="37" t="s">
        <v>577</v>
      </c>
      <c r="D15" s="37" t="s">
        <v>168</v>
      </c>
      <c r="E15" s="38" t="s">
        <v>86</v>
      </c>
      <c r="F15" s="37" t="s">
        <v>210</v>
      </c>
      <c r="G15" s="37" t="s">
        <v>578</v>
      </c>
      <c r="H15" s="40" t="s">
        <v>85</v>
      </c>
      <c r="I15" s="37" t="s">
        <v>149</v>
      </c>
      <c r="J15" s="37" t="s">
        <v>604</v>
      </c>
      <c r="K15" s="37" t="s">
        <v>605</v>
      </c>
      <c r="L15" s="37" t="s">
        <v>606</v>
      </c>
      <c r="M15" s="37" t="s">
        <v>607</v>
      </c>
    </row>
    <row r="16" customFormat="false" ht="23.25" hidden="false" customHeight="true" outlineLevel="0" collapsed="false">
      <c r="A16" s="37" t="s">
        <v>608</v>
      </c>
      <c r="B16" s="37" t="s">
        <v>609</v>
      </c>
      <c r="C16" s="37" t="s">
        <v>410</v>
      </c>
      <c r="D16" s="37" t="s">
        <v>242</v>
      </c>
      <c r="E16" s="38" t="s">
        <v>86</v>
      </c>
      <c r="F16" s="37" t="s">
        <v>63</v>
      </c>
      <c r="G16" s="37" t="s">
        <v>47</v>
      </c>
      <c r="H16" s="42" t="s">
        <v>83</v>
      </c>
      <c r="I16" s="37" t="s">
        <v>149</v>
      </c>
      <c r="J16" s="37" t="s">
        <v>610</v>
      </c>
      <c r="K16" s="37" t="s">
        <v>611</v>
      </c>
      <c r="L16" s="37" t="s">
        <v>246</v>
      </c>
      <c r="M16" s="37" t="s">
        <v>612</v>
      </c>
    </row>
    <row r="17" customFormat="false" ht="23.25" hidden="false" customHeight="true" outlineLevel="0" collapsed="false">
      <c r="A17" s="37" t="s">
        <v>613</v>
      </c>
      <c r="B17" s="37" t="s">
        <v>614</v>
      </c>
      <c r="C17" s="37" t="s">
        <v>250</v>
      </c>
      <c r="D17" s="37" t="s">
        <v>242</v>
      </c>
      <c r="E17" s="38" t="s">
        <v>86</v>
      </c>
      <c r="F17" s="37" t="s">
        <v>63</v>
      </c>
      <c r="G17" s="37" t="s">
        <v>97</v>
      </c>
      <c r="H17" s="42" t="s">
        <v>83</v>
      </c>
      <c r="I17" s="37" t="s">
        <v>149</v>
      </c>
      <c r="J17" s="37" t="s">
        <v>615</v>
      </c>
      <c r="K17" s="37" t="s">
        <v>616</v>
      </c>
      <c r="L17" s="37" t="s">
        <v>413</v>
      </c>
      <c r="M17" s="37" t="s">
        <v>340</v>
      </c>
    </row>
    <row r="18" customFormat="false" ht="23.25" hidden="false" customHeight="true" outlineLevel="0" collapsed="false">
      <c r="A18" s="37" t="s">
        <v>617</v>
      </c>
      <c r="B18" s="37" t="s">
        <v>618</v>
      </c>
      <c r="C18" s="37" t="s">
        <v>250</v>
      </c>
      <c r="D18" s="37" t="s">
        <v>168</v>
      </c>
      <c r="E18" s="38" t="s">
        <v>86</v>
      </c>
      <c r="F18" s="37" t="s">
        <v>48</v>
      </c>
      <c r="G18" s="37" t="s">
        <v>619</v>
      </c>
      <c r="H18" s="42" t="s">
        <v>83</v>
      </c>
      <c r="I18" s="37" t="s">
        <v>149</v>
      </c>
      <c r="J18" s="37" t="s">
        <v>620</v>
      </c>
      <c r="K18" s="37" t="s">
        <v>621</v>
      </c>
      <c r="L18" s="37" t="s">
        <v>414</v>
      </c>
      <c r="M18" s="37" t="s">
        <v>340</v>
      </c>
    </row>
    <row r="19" customFormat="false" ht="15" hidden="false" customHeight="true" outlineLevel="0" collapsed="false">
      <c r="A19" s="37" t="s">
        <v>622</v>
      </c>
      <c r="B19" s="37" t="s">
        <v>623</v>
      </c>
      <c r="C19" s="37" t="s">
        <v>410</v>
      </c>
      <c r="D19" s="37" t="s">
        <v>168</v>
      </c>
      <c r="E19" s="38" t="s">
        <v>86</v>
      </c>
      <c r="F19" s="37" t="s">
        <v>63</v>
      </c>
      <c r="G19" s="37" t="s">
        <v>97</v>
      </c>
      <c r="H19" s="42" t="s">
        <v>83</v>
      </c>
      <c r="I19" s="37" t="s">
        <v>149</v>
      </c>
      <c r="J19" s="37" t="s">
        <v>624</v>
      </c>
      <c r="K19" s="37" t="s">
        <v>625</v>
      </c>
      <c r="L19" s="37" t="s">
        <v>626</v>
      </c>
      <c r="M19" s="37" t="s">
        <v>340</v>
      </c>
    </row>
    <row r="20" customFormat="false" ht="23.25" hidden="false" customHeight="true" outlineLevel="0" collapsed="false">
      <c r="A20" s="37" t="s">
        <v>654</v>
      </c>
      <c r="B20" s="37" t="s">
        <v>655</v>
      </c>
      <c r="C20" s="37" t="s">
        <v>419</v>
      </c>
      <c r="D20" s="37" t="s">
        <v>168</v>
      </c>
      <c r="E20" s="38" t="s">
        <v>86</v>
      </c>
      <c r="F20" s="37" t="s">
        <v>57</v>
      </c>
      <c r="G20" s="37" t="s">
        <v>656</v>
      </c>
      <c r="H20" s="42" t="s">
        <v>83</v>
      </c>
      <c r="I20" s="37" t="s">
        <v>149</v>
      </c>
      <c r="J20" s="37" t="s">
        <v>657</v>
      </c>
      <c r="K20" s="37" t="s">
        <v>658</v>
      </c>
      <c r="L20" s="37" t="s">
        <v>413</v>
      </c>
      <c r="M20" s="37" t="s">
        <v>340</v>
      </c>
    </row>
    <row r="21" customFormat="false" ht="23.25" hidden="false" customHeight="true" outlineLevel="0" collapsed="false">
      <c r="A21" s="37" t="s">
        <v>659</v>
      </c>
      <c r="B21" s="37" t="s">
        <v>660</v>
      </c>
      <c r="C21" s="37" t="s">
        <v>419</v>
      </c>
      <c r="D21" s="37" t="s">
        <v>148</v>
      </c>
      <c r="E21" s="38" t="s">
        <v>86</v>
      </c>
      <c r="F21" s="37" t="s">
        <v>48</v>
      </c>
      <c r="G21" s="37" t="s">
        <v>100</v>
      </c>
      <c r="H21" s="42" t="s">
        <v>83</v>
      </c>
      <c r="I21" s="37" t="s">
        <v>149</v>
      </c>
      <c r="J21" s="37" t="s">
        <v>661</v>
      </c>
      <c r="K21" s="37" t="s">
        <v>662</v>
      </c>
      <c r="L21" s="37" t="s">
        <v>654</v>
      </c>
      <c r="M21" s="37" t="s">
        <v>340</v>
      </c>
    </row>
    <row r="22" customFormat="false" ht="15" hidden="false" customHeight="true" outlineLevel="0" collapsed="false">
      <c r="A22" s="37" t="s">
        <v>663</v>
      </c>
      <c r="B22" s="37" t="s">
        <v>664</v>
      </c>
      <c r="C22" s="37" t="s">
        <v>350</v>
      </c>
      <c r="D22" s="37" t="s">
        <v>148</v>
      </c>
      <c r="E22" s="38" t="s">
        <v>86</v>
      </c>
      <c r="F22" s="37" t="s">
        <v>48</v>
      </c>
      <c r="G22" s="37" t="s">
        <v>100</v>
      </c>
      <c r="H22" s="42" t="s">
        <v>83</v>
      </c>
      <c r="I22" s="37" t="s">
        <v>149</v>
      </c>
      <c r="J22" s="37" t="s">
        <v>665</v>
      </c>
      <c r="K22" s="37" t="s">
        <v>666</v>
      </c>
      <c r="L22" s="37" t="s">
        <v>659</v>
      </c>
      <c r="M22" s="37" t="s">
        <v>340</v>
      </c>
    </row>
    <row r="23" customFormat="false" ht="34.5" hidden="false" customHeight="true" outlineLevel="0" collapsed="false">
      <c r="A23" s="37" t="s">
        <v>667</v>
      </c>
      <c r="B23" s="37" t="s">
        <v>668</v>
      </c>
      <c r="C23" s="37" t="s">
        <v>350</v>
      </c>
      <c r="D23" s="37" t="s">
        <v>242</v>
      </c>
      <c r="E23" s="38" t="s">
        <v>86</v>
      </c>
      <c r="F23" s="37" t="s">
        <v>63</v>
      </c>
      <c r="G23" s="37" t="s">
        <v>669</v>
      </c>
      <c r="H23" s="42" t="s">
        <v>83</v>
      </c>
      <c r="I23" s="37" t="s">
        <v>149</v>
      </c>
      <c r="J23" s="37" t="s">
        <v>670</v>
      </c>
      <c r="K23" s="37" t="s">
        <v>671</v>
      </c>
      <c r="L23" s="37" t="s">
        <v>331</v>
      </c>
      <c r="M23" s="37" t="s">
        <v>672</v>
      </c>
    </row>
    <row r="24" customFormat="false" ht="23.25" hidden="false" customHeight="true" outlineLevel="0" collapsed="false">
      <c r="A24" s="37" t="s">
        <v>697</v>
      </c>
      <c r="B24" s="37" t="s">
        <v>698</v>
      </c>
      <c r="C24" s="37" t="s">
        <v>419</v>
      </c>
      <c r="D24" s="37" t="s">
        <v>168</v>
      </c>
      <c r="E24" s="38" t="s">
        <v>86</v>
      </c>
      <c r="F24" s="37" t="s">
        <v>63</v>
      </c>
      <c r="G24" s="37" t="s">
        <v>699</v>
      </c>
      <c r="H24" s="42" t="s">
        <v>83</v>
      </c>
      <c r="I24" s="37" t="s">
        <v>149</v>
      </c>
      <c r="J24" s="37" t="s">
        <v>700</v>
      </c>
      <c r="K24" s="37" t="s">
        <v>701</v>
      </c>
      <c r="L24" s="37" t="s">
        <v>654</v>
      </c>
      <c r="M24" s="37" t="s">
        <v>462</v>
      </c>
    </row>
    <row r="25" customFormat="false" ht="124.5" hidden="false" customHeight="true" outlineLevel="0" collapsed="false">
      <c r="A25" s="37" t="s">
        <v>735</v>
      </c>
      <c r="B25" s="37" t="s">
        <v>736</v>
      </c>
      <c r="C25" s="37" t="s">
        <v>250</v>
      </c>
      <c r="D25" s="37" t="s">
        <v>156</v>
      </c>
      <c r="E25" s="38" t="s">
        <v>86</v>
      </c>
      <c r="F25" s="37" t="s">
        <v>251</v>
      </c>
      <c r="G25" s="37" t="s">
        <v>97</v>
      </c>
      <c r="H25" s="40" t="s">
        <v>85</v>
      </c>
      <c r="I25" s="37" t="s">
        <v>149</v>
      </c>
      <c r="J25" s="37" t="s">
        <v>737</v>
      </c>
      <c r="K25" s="37" t="s">
        <v>738</v>
      </c>
      <c r="L25" s="37" t="s">
        <v>739</v>
      </c>
      <c r="M25" s="37" t="s">
        <v>740</v>
      </c>
    </row>
    <row r="26" customFormat="false" ht="135.75" hidden="false" customHeight="true" outlineLevel="0" collapsed="false">
      <c r="A26" s="37" t="s">
        <v>741</v>
      </c>
      <c r="B26" s="37" t="s">
        <v>742</v>
      </c>
      <c r="C26" s="37" t="s">
        <v>374</v>
      </c>
      <c r="D26" s="37" t="s">
        <v>743</v>
      </c>
      <c r="E26" s="38" t="s">
        <v>86</v>
      </c>
      <c r="F26" s="37" t="s">
        <v>251</v>
      </c>
      <c r="G26" s="37" t="s">
        <v>66</v>
      </c>
      <c r="H26" s="40" t="s">
        <v>85</v>
      </c>
      <c r="I26" s="37" t="s">
        <v>149</v>
      </c>
      <c r="J26" s="37" t="s">
        <v>744</v>
      </c>
      <c r="K26" s="37" t="s">
        <v>745</v>
      </c>
      <c r="L26" s="37" t="s">
        <v>746</v>
      </c>
      <c r="M26" s="37" t="s">
        <v>747</v>
      </c>
    </row>
  </sheetData>
  <autoFilter ref="A1:M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2026-05-08T04:00:20Z</dcterms:created>
  <dc:creator>openpyxl</dc:creator>
  <dc:description/>
  <dc:language>en-US</dc:language>
  <cp:lastModifiedBy>Gregory Melick</cp:lastModifiedBy>
  <dcterms:modified xsi:type="dcterms:W3CDTF">2026-05-22T01:26:18Z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