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name="Phase 2 Closure Summary" sheetId="1" state="visible" r:id="rId1"/>
    <sheet name="Dashboard" sheetId="2" state="visible" r:id="rId2"/>
    <sheet name="Current Sprint" sheetId="3" state="visible" r:id="rId3"/>
    <sheet name="Full Backlog" sheetId="4" state="visible" r:id="rId4"/>
    <sheet name="Phase 2 Completion" sheetId="5" state="visible" r:id="rId5"/>
    <sheet name="Phase 3 Gate" sheetId="6" state="visible" r:id="rId6"/>
    <sheet name="Phase 4 Gate" sheetId="7" state="visible" r:id="rId7"/>
    <sheet name="Phase 5 Gate" sheetId="8" state="visible" r:id="rId8"/>
    <sheet name="Phase 6 Gate" sheetId="9" state="visible" r:id="rId9"/>
    <sheet name="Phase 6 Build" sheetId="10" state="visible" r:id="rId10"/>
    <sheet name="Phase 7 Gate" sheetId="11" state="visible" r:id="rId11"/>
  </sheets>
  <definedNames>
    <definedName name="_xlnm._FilterDatabase" localSheetId="3" hidden="1">'Full Backlog'!$A$1:$M$97</definedName>
    <definedName name="_xlnm._FilterDatabase" localSheetId="4" hidden="1">'Phase 2 Completion'!$A$1:$M$61</definedName>
    <definedName name="_xlnm._FilterDatabase" localSheetId="5" hidden="1">'Phase 3 Gate'!$A$1:$M$24</definedName>
    <definedName name="_xlnm._FilterDatabase" localSheetId="6" hidden="1">'Phase 4 Gate'!$A$1:$M$5</definedName>
    <definedName name="_xlnm._FilterDatabase" localSheetId="7" hidden="1">'Phase 5 Gate'!$A$1:$M$19</definedName>
    <definedName name="_xlnm._FilterDatabase" localSheetId="8" hidden="1">'Phase 6 Gate'!$A$1:$M$6</definedName>
    <definedName name="_xlnm._FilterDatabase" localSheetId="9" hidden="1">'Phase 6 Build'!$A$1:$M$1</definedName>
    <definedName name="_xlnm._FilterDatabase" localSheetId="10" hidden="1">'Phase 7 Gate'!$A$1:$M$24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6">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6"/>
    </font>
    <font>
      <name val="Cambria"/>
      <charset val="1"/>
      <family val="0"/>
      <i val="1"/>
      <sz val="11"/>
    </font>
    <font>
      <name val="Calibri"/>
      <charset val="1"/>
      <family val="0"/>
      <b val="1"/>
      <color rgb="FFFFFFFF"/>
      <sz val="11"/>
    </font>
    <font>
      <name val="Calibri"/>
      <charset val="1"/>
      <family val="0"/>
      <b val="1"/>
      <sz val="11"/>
    </font>
    <font>
      <name val="Calibri"/>
      <charset val="1"/>
      <family val="0"/>
      <sz val="11"/>
    </font>
    <font>
      <name val="Cambria"/>
      <charset val="1"/>
      <family val="0"/>
      <i val="1"/>
      <sz val="10"/>
    </font>
    <font>
      <name val="Arial"/>
      <charset val="1"/>
      <family val="0"/>
      <b val="1"/>
      <color rgb="FF305496"/>
      <sz val="18"/>
    </font>
    <font>
      <name val="Arial"/>
      <charset val="1"/>
      <family val="0"/>
      <i val="1"/>
      <color rgb="FF595959"/>
      <sz val="10"/>
    </font>
    <font>
      <name val="Arial"/>
      <charset val="1"/>
      <family val="0"/>
      <b val="1"/>
      <color rgb="FF305496"/>
      <sz val="12"/>
    </font>
    <font>
      <name val="Arial"/>
      <charset val="1"/>
      <family val="0"/>
      <b val="1"/>
      <color rgb="FFFFFFFF"/>
      <sz val="11"/>
    </font>
    <font>
      <name val="Arial"/>
      <charset val="1"/>
      <family val="0"/>
      <b val="1"/>
      <color rgb="FF006100"/>
      <sz val="10"/>
    </font>
    <font>
      <name val="Arial"/>
      <charset val="1"/>
      <family val="0"/>
      <b val="1"/>
      <sz val="10"/>
    </font>
    <font>
      <name val="Arial"/>
      <charset val="1"/>
      <family val="0"/>
      <b val="1"/>
      <color rgb="FFFFFFFF"/>
      <sz val="10"/>
    </font>
    <font>
      <name val="Arial"/>
      <charset val="1"/>
      <family val="0"/>
      <color rgb="FF9C5700"/>
      <sz val="10"/>
    </font>
    <font>
      <name val="Arial"/>
      <charset val="1"/>
      <family val="0"/>
      <b val="1"/>
      <color rgb="FF9C0006"/>
      <sz val="10"/>
    </font>
    <font>
      <name val="Arial"/>
      <charset val="1"/>
      <family val="0"/>
      <color rgb="FF7F6000"/>
      <sz val="10"/>
    </font>
    <font>
      <name val="Arial"/>
      <charset val="1"/>
      <family val="0"/>
      <b val="1"/>
      <color rgb="FF1F4E79"/>
      <sz val="10"/>
    </font>
    <font>
      <name val="Arial"/>
      <charset val="1"/>
      <family val="0"/>
      <sz val="10"/>
    </font>
    <font>
      <name val="Arial"/>
      <charset val="1"/>
      <family val="0"/>
      <color rgb="FF0563C1"/>
      <sz val="10"/>
      <u val="single"/>
    </font>
    <font>
      <name val="Cambria"/>
      <charset val="1"/>
      <family val="0"/>
      <b val="1"/>
      <color rgb="FF006100"/>
      <sz val="12"/>
    </font>
    <font>
      <name val="Cambria"/>
      <charset val="1"/>
      <family val="0"/>
      <b val="1"/>
      <color rgb="FF006100"/>
      <sz val="11"/>
    </font>
    <font>
      <name val="Calibri"/>
      <charset val="1"/>
      <family val="0"/>
      <b val="1"/>
      <color rgb="FFFFFFFF"/>
      <sz val="14"/>
    </font>
  </fonts>
  <fills count="13">
    <fill>
      <patternFill/>
    </fill>
    <fill>
      <patternFill patternType="gray125"/>
    </fill>
    <fill>
      <patternFill patternType="solid">
        <fgColor rgb="FF1F4E79"/>
        <bgColor rgb="FF305496"/>
      </patternFill>
    </fill>
    <fill>
      <patternFill patternType="solid">
        <fgColor rgb="FF2E75B6"/>
        <bgColor rgb="FF0563C1"/>
      </patternFill>
    </fill>
    <fill>
      <patternFill patternType="solid">
        <fgColor rgb="FFC6EFCE"/>
        <bgColor rgb="FFD9D9D9"/>
      </patternFill>
    </fill>
    <fill>
      <patternFill patternType="solid">
        <fgColor rgb="FFFFEB9C"/>
        <bgColor rgb="FFFFE699"/>
      </patternFill>
    </fill>
    <fill>
      <patternFill patternType="solid">
        <fgColor rgb="FF305496"/>
        <bgColor rgb="FF1F4E79"/>
      </patternFill>
    </fill>
    <fill>
      <patternFill patternType="solid">
        <fgColor rgb="FFC00000"/>
        <bgColor rgb="FF9C0006"/>
      </patternFill>
    </fill>
    <fill>
      <patternFill patternType="solid">
        <fgColor rgb="FFFFC7CE"/>
        <bgColor rgb="FFD9D9D9"/>
      </patternFill>
    </fill>
    <fill>
      <patternFill patternType="solid">
        <fgColor rgb="FFD9D9D9"/>
        <bgColor rgb="FFBDD7EE"/>
      </patternFill>
    </fill>
    <fill>
      <patternFill patternType="solid">
        <fgColor rgb="FFFFE699"/>
        <bgColor rgb="FFFFEB9C"/>
      </patternFill>
    </fill>
    <fill>
      <patternFill patternType="solid">
        <fgColor rgb="FFBDD7EE"/>
        <bgColor rgb="FFD9D9D9"/>
      </patternFill>
    </fill>
    <fill>
      <patternFill patternType="solid">
        <fgColor rgb="FFF2F2F2"/>
        <b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11"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0" fillId="0" borderId="4" pivotButton="0" quotePrefix="0" xfId="0"/>
    <xf numFmtId="0" fontId="0" fillId="0" borderId="5" pivotButton="0" quotePrefix="0" xfId="0"/>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595959"/>
          <bgColor rgb="FF000000"/>
        </patternFill>
      </fill>
    </dxf>
    <dxf>
      <fill>
        <patternFill patternType="solid">
          <fgColor rgb="FF9C5700"/>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993366"/>
      <rgbColor rgb="FFF2F2F2"/>
      <rgbColor rgb="FFD9D9D9"/>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FFE699"/>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1F4E79"/>
      <rgbColor rgb="FF339966"/>
      <rgbColor rgb="FF003300"/>
      <rgbColor rgb="FF333300"/>
      <rgbColor rgb="FF9C57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backlog.xlsx" TargetMode="External" Id="rId1" /><Relationship Type="http://schemas.openxmlformats.org/officeDocument/2006/relationships/hyperlink" Target="backlog.xlsx" TargetMode="External" Id="rId2" /><Relationship Type="http://schemas.openxmlformats.org/officeDocument/2006/relationships/hyperlink" Target="backlog.xlsx" TargetMode="External" Id="rId3" /><Relationship Type="http://schemas.openxmlformats.org/officeDocument/2006/relationships/hyperlink" Target="backlog.xlsx" TargetMode="External" Id="rId4" /><Relationship Type="http://schemas.openxmlformats.org/officeDocument/2006/relationships/hyperlink" Target="backlog.xlsx" TargetMode="External" Id="rId5" /><Relationship Type="http://schemas.openxmlformats.org/officeDocument/2006/relationships/hyperlink" Target="backlog.xlsx" TargetMode="External" Id="rId6" /><Relationship Type="http://schemas.openxmlformats.org/officeDocument/2006/relationships/hyperlink" Target="backlog.xlsx" TargetMode="External" Id="rId7" /><Relationship Type="http://schemas.openxmlformats.org/officeDocument/2006/relationships/hyperlink" Target="backlog.xlsx" TargetMode="External" Id="rId8" /><Relationship Type="http://schemas.openxmlformats.org/officeDocument/2006/relationships/hyperlink" Target="backlog.xlsx" TargetMode="External" Id="rId9" /></Relationships>
</file>

<file path=xl/worksheets/sheet1.xml><?xml version="1.0" encoding="utf-8"?>
<worksheet xmlns="http://schemas.openxmlformats.org/spreadsheetml/2006/main">
  <sheetPr filterMode="0">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6" min="1" max="2"/>
    <col width="8" customWidth="1" style="46" min="3" max="3"/>
    <col width="28" customWidth="1" style="46" min="4" max="6"/>
  </cols>
  <sheetData>
    <row r="1" ht="31.5" customHeight="1" s="47">
      <c r="A1" s="48" t="inlineStr">
        <is>
          <t>PHASE 2 — CLOSED 2026-05-20</t>
        </is>
      </c>
    </row>
    <row r="2" ht="21.75" customHeight="1" s="47">
      <c r="A2" s="49" t="inlineStr">
        <is>
          <t>All 11 similarity engines built · Both performance index gates passing · Test suite green · Ready for Phase 3</t>
        </is>
      </c>
    </row>
    <row r="4" ht="15" customHeight="1" s="47">
      <c r="A4" s="50" t="inlineStr">
        <is>
          <t>Layer</t>
        </is>
      </c>
      <c r="B4" s="50" t="inlineStr">
        <is>
          <t>Status</t>
        </is>
      </c>
      <c r="C4" s="51" t="n"/>
      <c r="D4" s="51" t="n"/>
      <c r="E4" s="51" t="n"/>
      <c r="F4" s="52" t="n"/>
    </row>
    <row r="5" ht="42" customHeight="1" s="47">
      <c r="A5" s="53" t="inlineStr">
        <is>
          <t>Similarity engines</t>
        </is>
      </c>
      <c r="B5" s="54" t="inlineStr">
        <is>
          <t>11 / 11 built: pitcher (GMM W₂); batter/fielder/baserunner-advance/baserunner-steal/catcher v2/pitcher-steal/manager (RBF); situation (KDTree); pitch-to-pitch + batted-ball (FAISS)</t>
        </is>
      </c>
      <c r="C5" s="51" t="n"/>
      <c r="D5" s="51" t="n"/>
      <c r="E5" s="51" t="n"/>
      <c r="F5" s="52" t="n"/>
    </row>
    <row r="6" ht="42" customHeight="1" s="47">
      <c r="A6" s="53" t="inlineStr">
        <is>
          <t>Database schema</t>
        </is>
      </c>
      <c r="B6" s="54" t="inlineStr">
        <is>
          <t>12 Alembic migrations (0001 → 0012); 3 DuckDB migrations (0001 → 0003); 11 alembic + 3 duckdb chain integrity verified</t>
        </is>
      </c>
      <c r="C6" s="51" t="n"/>
      <c r="D6" s="51" t="n"/>
      <c r="E6" s="51" t="n"/>
      <c r="F6" s="52" t="n"/>
    </row>
    <row r="7" ht="42" customHeight="1" s="47">
      <c r="A7" s="53" t="inlineStr">
        <is>
          <t>Performance index gates</t>
        </is>
      </c>
      <c r="B7" s="54" t="inlineStr">
        <is>
          <t>SIM-085 idx_pitches_situation: PASS against live 2024 staging. SIM-089 idx_pitches_pitcher_season_clean: PASS (6.77 ms / 50 ms budget)</t>
        </is>
      </c>
      <c r="C7" s="51" t="n"/>
      <c r="D7" s="51" t="n"/>
      <c r="E7" s="51" t="n"/>
      <c r="F7" s="52" t="n"/>
    </row>
    <row r="8" ht="42" customHeight="1" s="47">
      <c r="A8" s="53" t="inlineStr">
        <is>
          <t>Test infrastructure</t>
        </is>
      </c>
      <c r="B8" s="54" t="inlineStr">
        <is>
          <t>767 unit/integration tests passing, 22 skipped (env-dependent), 0 failed. Smoke tests green. Integration tests Docker-aware.</t>
        </is>
      </c>
      <c r="C8" s="51" t="n"/>
      <c r="D8" s="51" t="n"/>
      <c r="E8" s="51" t="n"/>
      <c r="F8" s="52" t="n"/>
    </row>
    <row r="9" ht="42" customHeight="1" s="47">
      <c r="A9" s="53" t="inlineStr">
        <is>
          <t>Phase 3 architecture spec</t>
        </is>
      </c>
      <c r="B9" s="54" t="inlineStr">
        <is>
          <t>docs/architecture/2026-05-20-play-pool.md accepted: pre-filter contract, sub-index materialization, recency lifecycle, PlayPoolSampler API, performance budget</t>
        </is>
      </c>
      <c r="C9" s="51" t="n"/>
      <c r="D9" s="51" t="n"/>
      <c r="E9" s="51" t="n"/>
      <c r="F9" s="52" t="n"/>
    </row>
    <row r="10" ht="42" customHeight="1" s="47">
      <c r="A10" s="53" t="inlineStr">
        <is>
          <t>Program audit</t>
        </is>
      </c>
      <c r="B10" s="54" t="inlineStr">
        <is>
          <t>Full 9-agent audit complete (docs/audit/2026-05-21-program-audit.md). 53 prioritized follow-up tickets filed (47 new + 6 pre-existing)</t>
        </is>
      </c>
      <c r="C10" s="51" t="n"/>
      <c r="D10" s="51" t="n"/>
      <c r="E10" s="51" t="n"/>
      <c r="F10" s="52" t="n"/>
    </row>
    <row r="11" ht="42" customHeight="1" s="47">
      <c r="A11" s="53" t="inlineStr">
        <is>
          <t>Operator runbook</t>
        </is>
      </c>
      <c r="B11" s="54" t="inlineStr">
        <is>
          <t>WORKFLOW.md formatted for Windows cmd; covers ETL → DuckDB build → FastAPI serve → similarity API → smoke tests</t>
        </is>
      </c>
      <c r="C11" s="51" t="n"/>
      <c r="D11" s="51" t="n"/>
      <c r="E11" s="51" t="n"/>
      <c r="F11" s="52" t="n"/>
    </row>
    <row r="12" ht="42" customHeight="1" s="47">
      <c r="A12" s="53" t="inlineStr">
        <is>
          <t>Operational issues resolved</t>
        </is>
      </c>
      <c r="B12" s="54" t="inlineStr">
        <is>
          <t>Postgres port conflict (host 5433 permanent via DB_HOST_PORT in .env); OneDrive sync truncation patterns documented; SIM-163 IS NOT DISTINCT FROM regression caught + fixed</t>
        </is>
      </c>
      <c r="C12" s="51" t="n"/>
      <c r="D12" s="51" t="n"/>
      <c r="E12" s="51" t="n"/>
      <c r="F12" s="52" t="n"/>
    </row>
    <row r="15" ht="24" customHeight="1" s="47">
      <c r="A15" s="55" t="inlineStr">
        <is>
          <t>Sprint history</t>
        </is>
      </c>
    </row>
    <row r="16" ht="15" customHeight="1" s="47">
      <c r="A16" s="56" t="inlineStr">
        <is>
          <t>Sprint</t>
        </is>
      </c>
      <c r="B16" s="56" t="inlineStr">
        <is>
          <t>Theme</t>
        </is>
      </c>
      <c r="C16" s="56" t="inlineStr">
        <is>
          <t>Tickets</t>
        </is>
      </c>
      <c r="D16" s="56" t="inlineStr">
        <is>
          <t>Disposition</t>
        </is>
      </c>
      <c r="E16" s="56" t="inlineStr">
        <is>
          <t>Outcome</t>
        </is>
      </c>
      <c r="F16" s="52" t="n"/>
    </row>
    <row r="17" ht="31.5" customHeight="1" s="47">
      <c r="A17" s="54" t="inlineStr">
        <is>
          <t>2026-05-06 + 07</t>
        </is>
      </c>
      <c r="B17" s="54" t="inlineStr">
        <is>
          <t>Data + Backend Stabilisation</t>
        </is>
      </c>
      <c r="C17" s="54" t="inlineStr">
        <is>
          <t>16 (SIM-085/086/087/088/089/091/092/093/101/102/103/104/105/106/148/153)</t>
        </is>
      </c>
      <c r="D17" s="57" t="inlineStr">
        <is>
          <t>Closed 2026-05-07</t>
        </is>
      </c>
      <c r="E17" s="54" t="inlineStr">
        <is>
          <t>11 Alembic migrations baseline; backend live-pipeline hardened</t>
        </is>
      </c>
      <c r="F17" s="52" t="n"/>
    </row>
    <row r="18" ht="31.5" customHeight="1" s="47">
      <c r="A18" s="54" t="inlineStr">
        <is>
          <t>2026-05-13</t>
        </is>
      </c>
      <c r="B18" s="54" t="inlineStr">
        <is>
          <t>Phase 2 Closure &amp; Engine Build-out</t>
        </is>
      </c>
      <c r="C18" s="54" t="inlineStr">
        <is>
          <t>7 (SIM-072/073/041/042/157/158/159)</t>
        </is>
      </c>
      <c r="D18" s="57" t="inlineStr">
        <is>
          <t>Closed 2026-05-14</t>
        </is>
      </c>
      <c r="E18" s="54" t="inlineStr">
        <is>
          <t>Catcher v2 (5 sub-scores); pitch-to-pitch + batted-ball FAISS engines; index acceptance harness</t>
        </is>
      </c>
      <c r="F18" s="52" t="n"/>
    </row>
    <row r="19" ht="31.5" customHeight="1" s="47">
      <c r="A19" s="54" t="inlineStr">
        <is>
          <t>2026-05-20</t>
        </is>
      </c>
      <c r="B19" s="54" t="inlineStr">
        <is>
          <t>Phase 2 hardening &amp; Phase 3 kickoff</t>
        </is>
      </c>
      <c r="C19" s="54" t="inlineStr">
        <is>
          <t>7 (SIM-051/160/162/149/150/300/161)</t>
        </is>
      </c>
      <c r="D19" s="57" t="inlineStr">
        <is>
          <t>Closed 2026-05-20</t>
        </is>
      </c>
      <c r="E19" s="54" t="inlineStr">
        <is>
          <t>All Phase 2 engine unit tests; SIM-051 spray angle; Phase 3 spec accepted; live index runs PASS</t>
        </is>
      </c>
      <c r="F19" s="52" t="n"/>
    </row>
    <row r="22" ht="24" customHeight="1" s="47">
      <c r="A22" s="55" t="inlineStr">
        <is>
          <t>Phase 3 entry — Tier P0 tickets (next two sprints)</t>
        </is>
      </c>
    </row>
    <row r="23" ht="15" customHeight="1" s="47">
      <c r="A23" s="56" t="inlineStr">
        <is>
          <t>Ticket</t>
        </is>
      </c>
      <c r="B23" s="56" t="inlineStr">
        <is>
          <t>Owner</t>
        </is>
      </c>
      <c r="C23" s="56" t="inlineStr">
        <is>
          <t>Size</t>
        </is>
      </c>
      <c r="D23" s="56" t="inlineStr">
        <is>
          <t>Why P0</t>
        </is>
      </c>
      <c r="E23" s="51" t="n"/>
      <c r="F23" s="52" t="n"/>
    </row>
    <row r="24" ht="37.5" customHeight="1" s="47">
      <c r="A24" s="58" t="inlineStr">
        <is>
          <t>SIM-301</t>
        </is>
      </c>
      <c r="B24" s="54" t="inlineStr">
        <is>
          <t>Backend Developer</t>
        </is>
      </c>
      <c r="C24" s="59" t="inlineStr">
        <is>
          <t>M</t>
        </is>
      </c>
      <c r="D24" s="54" t="inlineStr">
        <is>
          <t>Play-pool nightly cache serializer — first concrete Phase 3 deliverable. Materializes pre-filtered FAISS indexes onto disk for hot-load.</t>
        </is>
      </c>
      <c r="E24" s="51" t="n"/>
      <c r="F24" s="52" t="n"/>
    </row>
    <row r="25" ht="37.5" customHeight="1" s="47">
      <c r="A25" s="58" t="inlineStr">
        <is>
          <t>SIM-302</t>
        </is>
      </c>
      <c r="B25" s="54" t="inlineStr">
        <is>
          <t>Backend + ML Engineer</t>
        </is>
      </c>
      <c r="C25" s="59" t="inlineStr">
        <is>
          <t>M</t>
        </is>
      </c>
      <c r="D25" s="54" t="inlineStr">
        <is>
          <t>PlayPoolSampler API surface — how the sim loop will pull pitches/plays. Defines query contract for Phase 4.</t>
        </is>
      </c>
      <c r="E25" s="51" t="n"/>
      <c r="F25" s="52" t="n"/>
    </row>
    <row r="26" ht="37.5" customHeight="1" s="47">
      <c r="A26" s="58" t="inlineStr">
        <is>
          <t>SIM-303</t>
        </is>
      </c>
      <c r="B26" s="54" t="inlineStr">
        <is>
          <t>Backend Developer</t>
        </is>
      </c>
      <c r="C26" s="59" t="inlineStr">
        <is>
          <t>M</t>
        </is>
      </c>
      <c r="D26" s="54" t="inlineStr">
        <is>
          <t>Wire sampler into Phase 4 simulation-loop scaffold. Last Phase 3 ticket before Phase 4 implementation begins.</t>
        </is>
      </c>
      <c r="E26" s="51" t="n"/>
      <c r="F26" s="52" t="n"/>
    </row>
    <row r="27" ht="37.5" customHeight="1" s="47">
      <c r="A27" s="58" t="inlineStr">
        <is>
          <t>SIM-220</t>
        </is>
      </c>
      <c r="B27" s="54" t="inlineStr">
        <is>
          <t>ML Engineer</t>
        </is>
      </c>
      <c r="C27" s="59" t="inlineStr">
        <is>
          <t>L</t>
        </is>
      </c>
      <c r="D27" s="54" t="inlineStr">
        <is>
          <t>Backtesting framework — no simulator output is verifiable without this. Walk-forward + golden-file fixtures.</t>
        </is>
      </c>
      <c r="E27" s="51" t="n"/>
      <c r="F27" s="52" t="n"/>
    </row>
    <row r="28" ht="37.5" customHeight="1" s="47">
      <c r="A28" s="58" t="inlineStr">
        <is>
          <t>SIM-201</t>
        </is>
      </c>
      <c r="B28" s="54" t="inlineStr">
        <is>
          <t>Baseball Analyst</t>
        </is>
      </c>
      <c r="C28" s="59" t="inlineStr">
        <is>
          <t>L</t>
        </is>
      </c>
      <c r="D28" s="54" t="inlineStr">
        <is>
          <t>Manager decision logic spec — required for Step 7 of the sim loop. Probably needs its own sprint.</t>
        </is>
      </c>
      <c r="E28" s="51" t="n"/>
      <c r="F28" s="52" t="n"/>
    </row>
    <row r="29" ht="37.5" customHeight="1" s="47">
      <c r="A29" s="58" t="inlineStr">
        <is>
          <t>SIM-202</t>
        </is>
      </c>
      <c r="B29" s="54" t="inlineStr">
        <is>
          <t>Baseball Analyst</t>
        </is>
      </c>
      <c r="C29" s="59" t="inlineStr">
        <is>
          <t>S</t>
        </is>
      </c>
      <c r="D29" s="54" t="inlineStr">
        <is>
          <t>Centralize run-value constants in simulation/constants.py. Prerequisite for Phase 4 cleanup.</t>
        </is>
      </c>
      <c r="E29" s="51" t="n"/>
      <c r="F29" s="52" t="n"/>
    </row>
    <row r="30" ht="37.5" customHeight="1" s="47">
      <c r="A30" s="58" t="inlineStr">
        <is>
          <t>SIM-118</t>
        </is>
      </c>
      <c r="B30" s="54" t="inlineStr">
        <is>
          <t>Performance Engineer</t>
        </is>
      </c>
      <c r="C30" s="59" t="inlineStr">
        <is>
          <t>M</t>
        </is>
      </c>
      <c r="D30" s="54" t="inlineStr">
        <is>
          <t>pytest-benchmark harness — no measurable SLA without it. Engine query latency, GMM fit, sim loop stubs.</t>
        </is>
      </c>
      <c r="E30" s="51" t="n"/>
      <c r="F30" s="52" t="n"/>
    </row>
    <row r="31" ht="37.5" customHeight="1" s="47">
      <c r="A31" s="58" t="inlineStr">
        <is>
          <t>SIM-280</t>
        </is>
      </c>
      <c r="B31" s="54" t="inlineStr">
        <is>
          <t>Performance Engineer</t>
        </is>
      </c>
      <c r="C31" s="59" t="inlineStr">
        <is>
          <t>S</t>
        </is>
      </c>
      <c r="D31" s="54" t="inlineStr">
        <is>
          <t>Per-engine RAM budget within the 2 GB SIM-114 envelope. Required before play-pool cache is sized.</t>
        </is>
      </c>
      <c r="E31" s="51" t="n"/>
      <c r="F31" s="52" t="n"/>
    </row>
    <row r="32" ht="37.5" customHeight="1" s="47">
      <c r="A32" s="58" t="inlineStr">
        <is>
          <t>SIM-281</t>
        </is>
      </c>
      <c r="B32" s="54" t="inlineStr">
        <is>
          <t>Performance Engineer</t>
        </is>
      </c>
      <c r="C32" s="59" t="inlineStr">
        <is>
          <t>S</t>
        </is>
      </c>
      <c r="D32" s="54" t="inlineStr">
        <is>
          <t>ProcessPoolExecutor + shared-memory architecture decision. Locks the Phase 4 parallelism model.</t>
        </is>
      </c>
      <c r="E32" s="51" t="n"/>
      <c r="F32" s="52" t="n"/>
    </row>
    <row r="35" ht="24" customHeight="1" s="47">
      <c r="A35" s="55" t="inlineStr">
        <is>
          <t>Open follow-ups from Phase 2 sprints</t>
        </is>
      </c>
    </row>
    <row r="36" ht="15" customHeight="1" s="47">
      <c r="A36" s="56" t="inlineStr">
        <is>
          <t>Ticket</t>
        </is>
      </c>
      <c r="B36" s="56" t="inlineStr">
        <is>
          <t>Owner</t>
        </is>
      </c>
      <c r="C36" s="56" t="inlineStr">
        <is>
          <t>Size</t>
        </is>
      </c>
      <c r="D36" s="56" t="inlineStr">
        <is>
          <t>Description</t>
        </is>
      </c>
      <c r="E36" s="51" t="n"/>
      <c r="F36" s="52" t="n"/>
    </row>
    <row r="37" ht="37.5" customHeight="1" s="47">
      <c r="A37" s="59" t="inlineStr">
        <is>
          <t>SIM-163</t>
        </is>
      </c>
      <c r="B37" s="54" t="inlineStr">
        <is>
          <t>Performance Engineer</t>
        </is>
      </c>
      <c r="C37" s="59" t="inlineStr">
        <is>
          <t>S</t>
        </is>
      </c>
      <c r="D37" s="54" t="inlineStr">
        <is>
          <t>Re-verify SIM-085 latency on cold cache + consider INCLUDE columns on idx_pitches_situation for Index Only Scan (10x potential speedup).</t>
        </is>
      </c>
      <c r="E37" s="51" t="n"/>
      <c r="F37" s="52" t="n"/>
    </row>
    <row r="40" ht="15" customHeight="1" s="47">
      <c r="A40" s="60" t="inlineStr">
        <is>
          <t>See docs/HANDOFF_PHASE3.md for the full Phase 3 onboarding doc.</t>
        </is>
      </c>
    </row>
  </sheetData>
  <mergeCells count="31">
    <mergeCell ref="B4:F4"/>
    <mergeCell ref="B7:F7"/>
    <mergeCell ref="D27:F27"/>
    <mergeCell ref="D32:F32"/>
    <mergeCell ref="E17:F17"/>
    <mergeCell ref="A2:F2"/>
    <mergeCell ref="B12:F12"/>
    <mergeCell ref="D28:F28"/>
    <mergeCell ref="D37:F37"/>
    <mergeCell ref="B11:F11"/>
    <mergeCell ref="E19:F19"/>
    <mergeCell ref="A22:F22"/>
    <mergeCell ref="A35:F35"/>
    <mergeCell ref="B8:F8"/>
    <mergeCell ref="D30:F30"/>
    <mergeCell ref="D25:F25"/>
    <mergeCell ref="D24:F24"/>
    <mergeCell ref="D29:F29"/>
    <mergeCell ref="D23:F23"/>
    <mergeCell ref="B10:F10"/>
    <mergeCell ref="D26:F26"/>
    <mergeCell ref="A40:F40"/>
    <mergeCell ref="A15:F15"/>
    <mergeCell ref="B9:F9"/>
    <mergeCell ref="B6:F6"/>
    <mergeCell ref="E16:F16"/>
    <mergeCell ref="D31:F31"/>
    <mergeCell ref="A1:F1"/>
    <mergeCell ref="B5:F5"/>
    <mergeCell ref="D36:F36"/>
    <mergeCell ref="E18:F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G47"/>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B28" activeCellId="0" sqref="B28"/>
    </sheetView>
  </sheetViews>
  <sheetFormatPr baseColWidth="8" defaultColWidth="8.71484375" defaultRowHeight="15" customHeight="0" zeroHeight="0" outlineLevelRow="0"/>
  <cols>
    <col width="2" customWidth="1" style="46" min="1" max="1"/>
    <col width="28" customWidth="1" style="46" min="2" max="2"/>
    <col width="12" customWidth="1" style="46" min="3" max="3"/>
    <col width="4" customWidth="1" style="46" min="4" max="4"/>
    <col width="28" customWidth="1" style="46" min="5" max="5"/>
    <col width="12" customWidth="1" style="46" min="6" max="6"/>
    <col width="24" customWidth="1" style="46" min="7" max="7"/>
  </cols>
  <sheetData>
    <row r="2" ht="25.5" customHeight="1" s="47">
      <c r="B2" s="61" t="inlineStr">
        <is>
          <t>MLB Baseball Simulation Platform — Backlog Dashboard (Phase 3 COMPLETE)</t>
        </is>
      </c>
    </row>
    <row r="3" ht="15" customHeight="1" s="47">
      <c r="B3" s="62" t="inlineStr">
        <is>
          <t>Generated 2026-05-21 — PHASE 3 COMPLETE; Phase-3-close program audit filed 41 Phase 4 tickets (SIM-220 + SIM-310..349). See docs/audit/2026-06-10-*.</t>
        </is>
      </c>
    </row>
    <row r="5" ht="15" customHeight="1" s="47">
      <c r="B5" s="63" t="inlineStr">
        <is>
          <t>Tickets by Status</t>
        </is>
      </c>
      <c r="E5" s="63" t="inlineStr">
        <is>
          <t>Tickets by Priority (Open + Held)</t>
        </is>
      </c>
    </row>
    <row r="6" ht="15" customHeight="1" s="47">
      <c r="B6" s="64" t="inlineStr">
        <is>
          <t>Status</t>
        </is>
      </c>
      <c r="C6" s="64" t="inlineStr">
        <is>
          <t>Count</t>
        </is>
      </c>
      <c r="E6" s="64" t="inlineStr">
        <is>
          <t>Priority</t>
        </is>
      </c>
      <c r="F6" s="64" t="inlineStr">
        <is>
          <t>Count</t>
        </is>
      </c>
    </row>
    <row r="7" ht="15" customHeight="1" s="47">
      <c r="B7" s="65" t="inlineStr">
        <is>
          <t>Closed</t>
        </is>
      </c>
      <c r="C7" s="66">
        <f>COUNTIF('Full Backlog'!$H$2:$H$1000,"Closed")</f>
        <v/>
      </c>
      <c r="E7" s="67" t="inlineStr">
        <is>
          <t>P0</t>
        </is>
      </c>
      <c r="F7" s="66">
        <f>COUNTIFS('Full Backlog'!$E$2:$E$1000,"P0",'Full Backlog'!$H$2:$H$1000,"Open")+COUNTIFS('Full Backlog'!$E$2:$E$1000,"P0",'Full Backlog'!$H$2:$H$1000,"Held")</f>
        <v/>
      </c>
    </row>
    <row r="8" ht="15" customHeight="1" s="47">
      <c r="B8" s="68" t="inlineStr">
        <is>
          <t>Open</t>
        </is>
      </c>
      <c r="C8" s="66">
        <f>COUNTIF('Full Backlog'!$H$2:$H$1000,"Open")</f>
        <v/>
      </c>
      <c r="E8" s="69" t="inlineStr">
        <is>
          <t>P1</t>
        </is>
      </c>
      <c r="F8" s="66">
        <f>COUNTIFS('Full Backlog'!$E$2:$E$1000,"P1",'Full Backlog'!$H$2:$H$1000,"Open")+COUNTIFS('Full Backlog'!$E$2:$E$1000,"P1",'Full Backlog'!$H$2:$H$1000,"Held")</f>
        <v/>
      </c>
    </row>
    <row r="9" ht="15" customHeight="1" s="47">
      <c r="B9" s="70" t="inlineStr">
        <is>
          <t>Held</t>
        </is>
      </c>
      <c r="C9" s="66">
        <f>COUNTIF('Full Backlog'!$H$2:$H$1000,"Held")</f>
        <v/>
      </c>
      <c r="E9" s="71" t="inlineStr">
        <is>
          <t>P2</t>
        </is>
      </c>
      <c r="F9" s="66">
        <f>COUNTIFS('Full Backlog'!$E$2:$E$1000,"P2",'Full Backlog'!$H$2:$H$1000,"Open")+COUNTIFS('Full Backlog'!$E$2:$E$1000,"P2",'Full Backlog'!$H$2:$H$1000,"Held")</f>
        <v/>
      </c>
    </row>
    <row r="10" ht="15" customHeight="1" s="47">
      <c r="B10" s="72" t="inlineStr">
        <is>
          <t>In Progress</t>
        </is>
      </c>
      <c r="C10" s="66">
        <f>COUNTIF('Full Backlog'!$H$2:$H$1000,"In Progress")</f>
        <v/>
      </c>
      <c r="E10" s="46" t="inlineStr">
        <is>
          <t>P3</t>
        </is>
      </c>
      <c r="F10" s="66">
        <f>COUNTIFS('Full Backlog'!$E$2:$E$1000,"P3",'Full Backlog'!$H$2:$H$1000,"Open")+COUNTIFS('Full Backlog'!$E$2:$E$1000,"P3",'Full Backlog'!$H$2:$H$1000,"Held")</f>
        <v/>
      </c>
    </row>
    <row r="11" ht="15" customHeight="1" s="47">
      <c r="B11" s="73" t="inlineStr">
        <is>
          <t>Total</t>
        </is>
      </c>
      <c r="C11" s="66">
        <f>SUM(C7:C10)</f>
        <v/>
      </c>
    </row>
    <row r="13" ht="15" customHeight="1" s="47">
      <c r="B13" s="63" t="inlineStr">
        <is>
          <t>Open Tickets by Assignee Role</t>
        </is>
      </c>
      <c r="E13" s="63" t="inlineStr">
        <is>
          <t>Current Sprint (2026-06-10)</t>
        </is>
      </c>
    </row>
    <row r="14" ht="15" customHeight="1" s="47">
      <c r="B14" s="64" t="inlineStr">
        <is>
          <t>Role</t>
        </is>
      </c>
      <c r="C14" s="64" t="inlineStr">
        <is>
          <t>Open</t>
        </is>
      </c>
      <c r="E14" s="64" t="inlineStr">
        <is>
          <t>Metric</t>
        </is>
      </c>
      <c r="F14" s="64" t="inlineStr">
        <is>
          <t>Value</t>
        </is>
      </c>
    </row>
    <row r="15" ht="15" customHeight="1" s="47">
      <c r="B15" s="74" t="inlineStr">
        <is>
          <t>Data Engineer</t>
        </is>
      </c>
      <c r="C15" s="66">
        <f>SUMPRODUCT((ISNUMBER(SEARCH("Data Engineer",'Full Backlog'!$G$2:$G$1000)))*('Full Backlog'!$H$2:$H$1000="Open"))</f>
        <v/>
      </c>
      <c r="E15" s="74" t="inlineStr">
        <is>
          <t>Total tickets</t>
        </is>
      </c>
      <c r="F15" s="66">
        <f>COUNTIF('Current Sprint'!A5:A100,"SIM-*")</f>
        <v/>
      </c>
    </row>
    <row r="16" ht="15" customHeight="1" s="47">
      <c r="B16" s="74" t="inlineStr">
        <is>
          <t>Backend Developer</t>
        </is>
      </c>
      <c r="C16" s="66">
        <f>SUMPRODUCT((ISNUMBER(SEARCH("Backend Developer",'Full Backlog'!$G$2:$G$1000)))*('Full Backlog'!$H$2:$H$1000="Open"))</f>
        <v/>
      </c>
      <c r="E16" s="74" t="inlineStr">
        <is>
          <t>Open</t>
        </is>
      </c>
      <c r="F16" s="66">
        <f>COUNTIF('Current Sprint'!$H$2:$H$100,"Open")</f>
        <v/>
      </c>
    </row>
    <row r="17" ht="15" customHeight="1" s="47">
      <c r="B17" s="74" t="inlineStr">
        <is>
          <t>ML Engineer</t>
        </is>
      </c>
      <c r="C17" s="66">
        <f>SUMPRODUCT((ISNUMBER(SEARCH("ML Engineer",'Full Backlog'!$G$2:$G$1000)))*('Full Backlog'!$H$2:$H$1000="Open"))</f>
        <v/>
      </c>
      <c r="E17" s="74" t="inlineStr">
        <is>
          <t>Closed</t>
        </is>
      </c>
      <c r="F17" s="66">
        <f>COUNTIF('Current Sprint'!$H$2:$H$100,"Closed")</f>
        <v/>
      </c>
    </row>
    <row r="18" ht="15" customHeight="1" s="47">
      <c r="B18" s="74" t="inlineStr">
        <is>
          <t>Baseball Analyst</t>
        </is>
      </c>
      <c r="C18" s="66">
        <f>SUMPRODUCT((ISNUMBER(SEARCH("Baseball Analyst",'Full Backlog'!$G$2:$G$1000)))*('Full Backlog'!$H$2:$H$1000="Open"))</f>
        <v/>
      </c>
      <c r="E18" s="74" t="inlineStr">
        <is>
          <t>% Complete</t>
        </is>
      </c>
      <c r="F18" s="75">
        <f>IFERROR(F17/F15, 0)</f>
        <v/>
      </c>
    </row>
    <row r="19" ht="15" customHeight="1" s="47">
      <c r="B19" s="74" t="inlineStr">
        <is>
          <t>Performance Engineer</t>
        </is>
      </c>
      <c r="C19" s="66">
        <f>SUMPRODUCT((ISNUMBER(SEARCH("Performance Engineer",'Full Backlog'!$G$2:$G$1000)))*('Full Backlog'!$H$2:$H$1000="Open"))</f>
        <v/>
      </c>
    </row>
    <row r="20" ht="15" customHeight="1" s="47">
      <c r="B20" s="74" t="inlineStr">
        <is>
          <t>QA/DevOps</t>
        </is>
      </c>
      <c r="C20" s="66">
        <f>SUMPRODUCT((ISNUMBER(SEARCH("QA/DevOps",'Full Backlog'!$G$2:$G$1000)))*('Full Backlog'!$H$2:$H$1000="Open"))</f>
        <v/>
      </c>
    </row>
    <row r="21" ht="15" customHeight="1" s="47">
      <c r="B21" s="74" t="inlineStr">
        <is>
          <t>UX Designer</t>
        </is>
      </c>
      <c r="C21" s="66">
        <f>SUMPRODUCT((ISNUMBER(SEARCH("UX Designer",'Full Backlog'!$G$2:$G$1000)))*('Full Backlog'!$H$2:$H$1000="Open"))</f>
        <v/>
      </c>
    </row>
    <row r="22" ht="15" customHeight="1" s="47">
      <c r="B22" s="74" t="inlineStr">
        <is>
          <t>Betting Analyst</t>
        </is>
      </c>
      <c r="C22" s="66">
        <f>SUMPRODUCT((ISNUMBER(SEARCH("Betting Analyst",'Full Backlog'!$G$2:$G$1000)))*('Full Backlog'!$H$2:$H$1000="Open"))</f>
        <v/>
      </c>
    </row>
    <row r="23" ht="15" customHeight="1" s="47">
      <c r="B23" s="74" t="inlineStr">
        <is>
          <t>Product Manager</t>
        </is>
      </c>
      <c r="C23" s="66">
        <f>SUMPRODUCT((ISNUMBER(SEARCH("Product Manager",'Full Backlog'!$G$2:$G$1000)))*('Full Backlog'!$H$2:$H$1000="Open"))</f>
        <v/>
      </c>
    </row>
    <row r="25" ht="15" customHeight="1" s="47">
      <c r="B25" s="63" t="inlineStr">
        <is>
          <t>Quick Links</t>
        </is>
      </c>
    </row>
    <row r="26" ht="15" customHeight="1" s="47">
      <c r="B26" s="76" t="inlineStr">
        <is>
          <t>Full Backlog</t>
        </is>
      </c>
      <c r="C26" s="62" t="inlineStr">
        <is>
          <t>Every ticket in the project</t>
        </is>
      </c>
    </row>
    <row r="27" ht="15" customHeight="1" s="47">
      <c r="B27" s="76" t="inlineStr">
        <is>
          <t>Current Sprint</t>
        </is>
      </c>
      <c r="C27" s="62" t="inlineStr">
        <is>
          <t>Sprint 2026-06-10 Phase 3 completion commit list</t>
        </is>
      </c>
    </row>
    <row r="28" ht="15" customHeight="1" s="47">
      <c r="B28" s="76" t="inlineStr">
        <is>
          <t>Phase 2 Completion</t>
        </is>
      </c>
      <c r="C28" s="62" t="inlineStr">
        <is>
          <t>Similarity engine suite + Phase 2 polish</t>
        </is>
      </c>
    </row>
    <row r="29" ht="15" customHeight="1" s="47">
      <c r="B29" s="76" t="inlineStr">
        <is>
          <t>Phase 3 Gate</t>
        </is>
      </c>
      <c r="C29" s="62" t="inlineStr">
        <is>
          <t>Play pool architecture dependencies</t>
        </is>
      </c>
    </row>
    <row r="30" ht="15" customHeight="1" s="47">
      <c r="B30" s="76" t="inlineStr">
        <is>
          <t>Phase 4 Gate</t>
        </is>
      </c>
      <c r="C30" s="62" t="inlineStr">
        <is>
          <t>Core simulation loop dependencies</t>
        </is>
      </c>
    </row>
    <row r="31" ht="15" customHeight="1" s="47">
      <c r="B31" s="76" t="inlineStr">
        <is>
          <t>Phase 5 Gate</t>
        </is>
      </c>
      <c r="C31" s="62" t="inlineStr">
        <is>
          <t>Backend API + simulation runner</t>
        </is>
      </c>
    </row>
    <row r="32" ht="15" customHeight="1" s="47">
      <c r="B32" s="76" t="inlineStr">
        <is>
          <t>Phase 6 Gate</t>
        </is>
      </c>
      <c r="C32" s="62" t="inlineStr">
        <is>
          <t>Frontend dependencies</t>
        </is>
      </c>
    </row>
    <row r="33" ht="15" customHeight="1" s="47">
      <c r="B33" s="76" t="inlineStr">
        <is>
          <t>Phase 6 Build</t>
        </is>
      </c>
      <c r="C33" s="62" t="inlineStr">
        <is>
          <t>Frontend implementation tickets</t>
        </is>
      </c>
    </row>
    <row r="34" ht="15" customHeight="1" s="47">
      <c r="B34" s="76" t="inlineStr">
        <is>
          <t>Phase 7 Gate</t>
        </is>
      </c>
      <c r="C34" s="62" t="inlineStr">
        <is>
          <t>Integration / testing / deployment</t>
        </is>
      </c>
    </row>
    <row r="36" ht="15" customHeight="1" s="47">
      <c r="B36" s="77" t="inlineStr">
        <is>
          <t>Sprint 2026-05-13 — Phase 2 Closure &amp; Engine Build-out (CLOSED 2026-05-14)</t>
        </is>
      </c>
    </row>
    <row r="37" ht="15" customHeight="1" s="47">
      <c r="B37" s="46" t="inlineStr">
        <is>
          <t>Disposition: ✅ all 7 tickets accepted by PM on 2026-05-14</t>
        </is>
      </c>
    </row>
    <row r="38" ht="15" customHeight="1" s="47">
      <c r="B38" s="46" t="inlineStr">
        <is>
          <t>• SIM-073 (DE)  · steal_attempt_rate_against column + DuckDB migration 0002</t>
        </is>
      </c>
    </row>
    <row r="39" ht="15" customHeight="1" s="47">
      <c r="B39" s="46" t="inlineStr">
        <is>
          <t>• SIM-072 (ML)  · CatcherSimilarityEngine v2 — 5-sub-score split</t>
        </is>
      </c>
    </row>
    <row r="40" ht="15" customHeight="1" s="47">
      <c r="B40" s="46" t="inlineStr">
        <is>
          <t>• SIM-157 (DE)  · odds_hash backfill + Alembic 0012 (full unique)</t>
        </is>
      </c>
    </row>
    <row r="41" ht="15" customHeight="1" s="47">
      <c r="B41" s="46" t="inlineStr">
        <is>
          <t>• SIM-158 (PE)  · EXPLAIN ANALYZE harness (live run → SIM-161)</t>
        </is>
      </c>
    </row>
    <row r="42" ht="15" customHeight="1" s="47">
      <c r="B42" s="46" t="inlineStr">
        <is>
          <t>• SIM-159 (BE)  · MockOddsAPI vig flake fix (test-side bounds)</t>
        </is>
      </c>
    </row>
    <row r="43" ht="15" customHeight="1" s="47">
      <c r="B43" s="46" t="inlineStr">
        <is>
          <t>• SIM-041 (ML)  · Pitch-to-Pitch FAISS engine (Step 2.10)</t>
        </is>
      </c>
    </row>
    <row r="44" ht="15" customHeight="1" s="47">
      <c r="B44" s="46" t="inlineStr">
        <is>
          <t>• SIM-042 (ML)  · Batted-Ball FAISS engine (Step 2.11)</t>
        </is>
      </c>
    </row>
    <row r="45" ht="15" customHeight="1" s="47">
      <c r="B45" s="78" t="inlineStr">
        <is>
          <t>All 11 similarity engines now built — Phase 2 milestone reached.</t>
        </is>
      </c>
    </row>
    <row r="47" ht="15" customHeight="1" s="47">
      <c r="B47" s="79" t="inlineStr">
        <is>
          <t>Next sprint: 2026-05-20 — Phase 2 hardening &amp; Phase 3 kickoff (see Current Sprint sheet)</t>
        </is>
      </c>
    </row>
  </sheetData>
  <mergeCells count="2">
    <mergeCell ref="B3:G3"/>
    <mergeCell ref="B2:G2"/>
  </mergeCells>
  <hyperlinks>
    <hyperlink xmlns:r="http://schemas.openxmlformats.org/officeDocument/2006/relationships" ref="B26" location="'Full%20Backlog'!A1" display="Full Backlog" r:id="rId1"/>
    <hyperlink xmlns:r="http://schemas.openxmlformats.org/officeDocument/2006/relationships" ref="B27" location="'Current%20Sprint'!A1" display="Current Sprint" r:id="rId2"/>
    <hyperlink xmlns:r="http://schemas.openxmlformats.org/officeDocument/2006/relationships" ref="B28" location="'Phase%202%20Completion'!A1" display="Phase 2 Completion" r:id="rId3"/>
    <hyperlink xmlns:r="http://schemas.openxmlformats.org/officeDocument/2006/relationships" ref="B29" location="'Phase%203%20Gate'!A1" display="Phase 3 Gate" r:id="rId4"/>
    <hyperlink xmlns:r="http://schemas.openxmlformats.org/officeDocument/2006/relationships" ref="B30" location="'Phase%204%20Gate'!A1" display="Phase 4 Gate" r:id="rId5"/>
    <hyperlink xmlns:r="http://schemas.openxmlformats.org/officeDocument/2006/relationships" ref="B31" location="'Phase%205%20Gate'!A1" display="Phase 5 Gate" r:id="rId6"/>
    <hyperlink xmlns:r="http://schemas.openxmlformats.org/officeDocument/2006/relationships" ref="B32" location="'Phase%206%20Gate'!A1" display="Phase 6 Gate" r:id="rId7"/>
    <hyperlink xmlns:r="http://schemas.openxmlformats.org/officeDocument/2006/relationships" ref="B33" location="'Phase%206%20Build'!A1" display="Phase 6 Build" r:id="rId8"/>
    <hyperlink xmlns:r="http://schemas.openxmlformats.org/officeDocument/2006/relationships" ref="B34" location="'Phase%207%20Gate'!A1" display="Phase 7 Gate" r:id="rId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46" min="1" max="1"/>
    <col width="30" customWidth="1" style="46" min="2" max="2"/>
    <col width="14" customWidth="1" style="46" min="3" max="3"/>
    <col width="12" customWidth="1" style="46" min="4" max="4"/>
    <col width="9" customWidth="1" style="46" min="5" max="5"/>
    <col width="7" customWidth="1" style="46" min="6" max="6"/>
    <col width="22" customWidth="1" style="46" min="7" max="7"/>
    <col width="13" customWidth="1" style="46" min="8" max="8"/>
    <col width="9" customWidth="1" style="46" min="9" max="9"/>
    <col width="36" customWidth="1" style="46" min="10" max="10"/>
    <col width="42" customWidth="1" style="46" min="11" max="11"/>
    <col width="18" customWidth="1" style="46" min="12" max="12"/>
    <col width="22" customWidth="1" style="46" min="13" max="13"/>
  </cols>
  <sheetData>
    <row r="1" ht="27.75" customHeight="1" s="47">
      <c r="A1" s="80" t="inlineStr">
        <is>
          <t>Sprint 2026-06-10 — CLOSED 2026-05-21: Phase 3 Completion — all 6 play-pool tickets shipped &amp; accepted after independent QA (927 unit+regression passing / 1 skipped; 3 perf benches). Phase 3 (Play Pool Architecture) COMPLETE. See docs/SPRINT_2026-06-10_phase3_completion.md</t>
        </is>
      </c>
    </row>
    <row r="2" ht="36" customHeight="1" s="47">
      <c r="A2" s="81" t="inlineStr">
        <is>
          <t>Sprint goal: ship the first Phase 3 deliverables — play-pool nightly cache (SIM-301) + sampler API (SIM-302) — alongside the Tier-P0 perf and BA prereqs that gate Phase 4. Backtesting framework (SIM-220) and manager decision logic spec (SIM-201) likely span two sprints; start scoping in this one.</t>
        </is>
      </c>
    </row>
    <row r="4" ht="15" customHeight="1" s="47">
      <c r="A4" s="56" t="inlineStr">
        <is>
          <t>Ticket ID</t>
        </is>
      </c>
      <c r="B4" s="56" t="inlineStr">
        <is>
          <t>Title</t>
        </is>
      </c>
      <c r="C4" s="56" t="inlineStr">
        <is>
          <t>Category</t>
        </is>
      </c>
      <c r="D4" s="56" t="inlineStr">
        <is>
          <t>Type</t>
        </is>
      </c>
      <c r="E4" s="56" t="inlineStr">
        <is>
          <t>Priority</t>
        </is>
      </c>
      <c r="F4" s="56" t="inlineStr">
        <is>
          <t>Size</t>
        </is>
      </c>
      <c r="G4" s="56" t="inlineStr">
        <is>
          <t>Assignee Role</t>
        </is>
      </c>
      <c r="H4" s="56" t="inlineStr">
        <is>
          <t>Status</t>
        </is>
      </c>
      <c r="I4" s="56" t="inlineStr">
        <is>
          <t>Blocked</t>
        </is>
      </c>
      <c r="J4" s="56" t="inlineStr">
        <is>
          <t>Description</t>
        </is>
      </c>
      <c r="K4" s="56" t="inlineStr">
        <is>
          <t>Acceptance Criteria</t>
        </is>
      </c>
      <c r="L4" s="56" t="inlineStr">
        <is>
          <t>Dependencies</t>
        </is>
      </c>
      <c r="M4" s="56" t="inlineStr">
        <is>
          <t>Notes</t>
        </is>
      </c>
    </row>
    <row r="5" ht="90" customHeight="1" s="47">
      <c r="A5" s="58" t="inlineStr">
        <is>
          <t>SIM-048</t>
        </is>
      </c>
      <c r="B5" s="54" t="inlineStr">
        <is>
          <t>SimilarityEngineRegistry — unified interface for all 11 engines</t>
        </is>
      </c>
      <c r="C5" s="54" t="inlineStr">
        <is>
          <t>Phase 3</t>
        </is>
      </c>
      <c r="D5" s="54" t="inlineStr">
        <is>
          <t>Feature</t>
        </is>
      </c>
      <c r="E5" s="59" t="inlineStr">
        <is>
          <t>P1</t>
        </is>
      </c>
      <c r="F5" s="59" t="inlineStr">
        <is>
          <t>M</t>
        </is>
      </c>
      <c r="G5" s="54" t="inlineStr">
        <is>
          <t>ML Engineer</t>
        </is>
      </c>
      <c r="H5" s="82" t="inlineStr">
        <is>
          <t>Closed</t>
        </is>
      </c>
      <c r="I5" s="54" t="inlineStr">
        <is>
          <t>No</t>
        </is>
      </c>
      <c r="J5" s="54" t="inlineStr">
        <is>
          <t>Registry mapping canonical names to engine classes + metadata (family, score_type).</t>
        </is>
      </c>
      <c r="K5" s="54" t="inlineStr">
        <is>
          <t>similarity/registry.py; lists 11; lazy guarded imports; tests.</t>
        </is>
      </c>
      <c r="L5" s="54" t="inlineStr">
        <is>
          <t>SIM-071</t>
        </is>
      </c>
      <c r="M5" s="54" t="inlineStr">
        <is>
          <t>Root of the Phase 3 remainder chain.</t>
        </is>
      </c>
    </row>
    <row r="6" ht="90" customHeight="1" s="47">
      <c r="A6" s="58" t="inlineStr">
        <is>
          <t>SIM-076</t>
        </is>
      </c>
      <c r="B6" s="54" t="inlineStr">
        <is>
          <t>recency_weight on sim pools + pool_build_metadata + walk-forward harness</t>
        </is>
      </c>
      <c r="C6" s="54" t="inlineStr">
        <is>
          <t>Phase 3</t>
        </is>
      </c>
      <c r="D6" s="54" t="inlineStr">
        <is>
          <t>Improvement</t>
        </is>
      </c>
      <c r="E6" s="59" t="inlineStr">
        <is>
          <t>P1</t>
        </is>
      </c>
      <c r="F6" s="59" t="inlineStr">
        <is>
          <t>L</t>
        </is>
      </c>
      <c r="G6" s="54" t="inlineStr">
        <is>
          <t>Data Engineer + ML Engineer</t>
        </is>
      </c>
      <c r="H6" s="82" t="inlineStr">
        <is>
          <t>Closed</t>
        </is>
      </c>
      <c r="I6" s="54" t="inlineStr">
        <is>
          <t>No</t>
        </is>
      </c>
      <c r="J6" s="54" t="inlineStr">
        <is>
          <t>2x last-2-seasons recency weight, decay older; metadata table; harness.</t>
        </is>
      </c>
      <c r="K6" s="54" t="inlineStr">
        <is>
          <t>Migration 0004; schema v5; computor populates; harness module; tests.</t>
        </is>
      </c>
      <c r="L6" s="54" t="inlineStr">
        <is>
          <t>SIM-048</t>
        </is>
      </c>
      <c r="M6" s="54" t="inlineStr">
        <is>
          <t>Recency boost materialized as a column.</t>
        </is>
      </c>
    </row>
    <row r="7" ht="90" customHeight="1" s="47">
      <c r="A7" s="58" t="inlineStr">
        <is>
          <t>SIM-095</t>
        </is>
      </c>
      <c r="B7" s="54" t="inlineStr">
        <is>
          <t>Incremental pitch_pool/outcome_pool rebuild</t>
        </is>
      </c>
      <c r="C7" s="54" t="inlineStr">
        <is>
          <t>Phase 3</t>
        </is>
      </c>
      <c r="D7" s="54" t="inlineStr">
        <is>
          <t>Improvement</t>
        </is>
      </c>
      <c r="E7" s="59" t="inlineStr">
        <is>
          <t>P2</t>
        </is>
      </c>
      <c r="F7" s="59" t="inlineStr">
        <is>
          <t>M</t>
        </is>
      </c>
      <c r="G7" s="54" t="inlineStr">
        <is>
          <t>Data Engineer</t>
        </is>
      </c>
      <c r="H7" s="82" t="inlineStr">
        <is>
          <t>Closed</t>
        </is>
      </c>
      <c r="I7" s="54" t="inlineStr">
        <is>
          <t>No</t>
        </is>
      </c>
      <c r="J7" s="54" t="inlineStr">
        <is>
          <t>Rebuild only seasons whose source changed; full rebuild fallback.</t>
        </is>
      </c>
      <c r="K7" s="54" t="inlineStr">
        <is>
          <t>_seasons_needing_rebuild; run() incremental=not full_rebuild; tests.</t>
        </is>
      </c>
      <c r="L7" s="54" t="inlineStr">
        <is>
          <t>SIM-076</t>
        </is>
      </c>
      <c r="M7" s="54" t="inlineStr">
        <is>
          <t>Replaces nightly full delete+reinsert.</t>
        </is>
      </c>
    </row>
    <row r="8" ht="90" customHeight="1" s="47">
      <c r="A8" s="58" t="inlineStr">
        <is>
          <t>SIM-111</t>
        </is>
      </c>
      <c r="B8" s="54" t="inlineStr">
        <is>
          <t>Play-pool query API column contracts</t>
        </is>
      </c>
      <c r="C8" s="54" t="inlineStr">
        <is>
          <t>Phase 3</t>
        </is>
      </c>
      <c r="D8" s="54" t="inlineStr">
        <is>
          <t>Gap</t>
        </is>
      </c>
      <c r="E8" s="59" t="inlineStr">
        <is>
          <t>P1</t>
        </is>
      </c>
      <c r="F8" s="59" t="inlineStr">
        <is>
          <t>S</t>
        </is>
      </c>
      <c r="G8" s="54" t="inlineStr">
        <is>
          <t>Backend Developer + Data Engineer</t>
        </is>
      </c>
      <c r="H8" s="82" t="inlineStr">
        <is>
          <t>Closed</t>
        </is>
      </c>
      <c r="I8" s="54" t="inlineStr">
        <is>
          <t>No</t>
        </is>
      </c>
      <c r="J8" s="54" t="inlineStr">
        <is>
          <t>Document the 3 pools' query columns, pre-filter keys, access patterns, recency_weight.</t>
        </is>
      </c>
      <c r="K8" s="54" t="inlineStr">
        <is>
          <t>docs/architecture/2026-05-21-play-pool-query-contracts.md.</t>
        </is>
      </c>
      <c r="L8" s="54" t="inlineStr">
        <is>
          <t>SIM-076</t>
        </is>
      </c>
      <c r="M8" s="54" t="inlineStr">
        <is>
          <t>Drove SIM-115 keep/drop decisions.</t>
        </is>
      </c>
    </row>
    <row r="9" ht="90" customHeight="1" s="47">
      <c r="A9" s="58" t="inlineStr">
        <is>
          <t>SIM-115</t>
        </is>
      </c>
      <c r="B9" s="54" t="inlineStr">
        <is>
          <t>Prune DuckDB sim pool indexes</t>
        </is>
      </c>
      <c r="C9" s="54" t="inlineStr">
        <is>
          <t>Phase 3</t>
        </is>
      </c>
      <c r="D9" s="54" t="inlineStr">
        <is>
          <t>Improvement</t>
        </is>
      </c>
      <c r="E9" s="59" t="inlineStr">
        <is>
          <t>P1</t>
        </is>
      </c>
      <c r="F9" s="59" t="inlineStr">
        <is>
          <t>S</t>
        </is>
      </c>
      <c r="G9" s="54" t="inlineStr">
        <is>
          <t>Data Engineer + Performance Engineer</t>
        </is>
      </c>
      <c r="H9" s="82" t="inlineStr">
        <is>
          <t>Closed</t>
        </is>
      </c>
      <c r="I9" s="54" t="inlineStr">
        <is>
          <t>No</t>
        </is>
      </c>
      <c r="J9" s="54" t="inlineStr">
        <is>
          <t>Keep query-path indexes; drop write-overhead ones (schema-qualified DROP).</t>
        </is>
      </c>
      <c r="K9" s="54" t="inlineStr">
        <is>
          <t>Migration 0005; schema updated; tests.</t>
        </is>
      </c>
      <c r="L9" s="54" t="inlineStr">
        <is>
          <t>SIM-111</t>
        </is>
      </c>
      <c r="M9" s="54" t="inlineStr">
        <is>
          <t>DROP INDEX must be sim.-qualified.</t>
        </is>
      </c>
    </row>
    <row r="10" ht="90" customHeight="1" s="47">
      <c r="A10" s="58" t="inlineStr">
        <is>
          <t>SIM-056</t>
        </is>
      </c>
      <c r="B10" s="54" t="inlineStr">
        <is>
          <t>Count-stratified foul-ball frequency weighting design</t>
        </is>
      </c>
      <c r="C10" s="54" t="inlineStr">
        <is>
          <t>Phase 3</t>
        </is>
      </c>
      <c r="D10" s="54" t="inlineStr">
        <is>
          <t>Design</t>
        </is>
      </c>
      <c r="E10" s="59" t="inlineStr">
        <is>
          <t>P2</t>
        </is>
      </c>
      <c r="F10" s="59" t="inlineStr">
        <is>
          <t>S</t>
        </is>
      </c>
      <c r="G10" s="54" t="inlineStr">
        <is>
          <t>Baseball Analyst</t>
        </is>
      </c>
      <c r="H10" s="82" t="inlineStr">
        <is>
          <t>Closed</t>
        </is>
      </c>
      <c r="I10" s="54" t="inlineStr">
        <is>
          <t>No</t>
        </is>
      </c>
      <c r="J10" s="54" t="inlineStr">
        <is>
          <t>Count -&gt; foul-frequency factor at outcome step; two-strike foul keeps PA alive.</t>
        </is>
      </c>
      <c r="K10" s="54" t="inlineStr">
        <is>
          <t>docs/architecture/2026-05-21-foul-ball-weighting.md + illustrative CSV.</t>
        </is>
      </c>
      <c r="L10" s="54" t="inlineStr">
        <is>
          <t>SIM-111</t>
        </is>
      </c>
      <c r="M10" s="54" t="inlineStr">
        <is>
          <t>Design doc; impl in Phase 4 loop.</t>
        </is>
      </c>
    </row>
    <row r="11" ht="15" customHeight="1" s="47"/>
  </sheetData>
  <mergeCells count="2">
    <mergeCell ref="A2:M2"/>
    <mergeCell ref="A1:M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222"/>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47" customHeight="1" s="47">
      <c r="A2" s="84" t="inlineStr">
        <is>
          <t>SIM-041</t>
        </is>
      </c>
      <c r="B2" s="84" t="inlineStr">
        <is>
          <t>Build pitch-to-pitch similarity engine (2.10) — FAISS flat index</t>
        </is>
      </c>
      <c r="C2" s="84" t="inlineStr">
        <is>
          <t>Similarity Engines</t>
        </is>
      </c>
      <c r="D2" s="84" t="inlineStr">
        <is>
          <t>Feature</t>
        </is>
      </c>
      <c r="E2" s="85" t="inlineStr">
        <is>
          <t>P1</t>
        </is>
      </c>
      <c r="F2" s="84" t="inlineStr">
        <is>
          <t>L (1–2 weeks)</t>
        </is>
      </c>
      <c r="G2" s="84" t="inlineStr">
        <is>
          <t>ML Engineer</t>
        </is>
      </c>
      <c r="H2" s="86" t="inlineStr">
        <is>
          <t>Shipped 2026-05-14 (sprint 2026-05-13)</t>
        </is>
      </c>
      <c r="I2" s="84" t="inlineStr">
        <is>
          <t>No</t>
        </is>
      </c>
      <c r="J2"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2"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2" s="84" t="inlineStr">
        <is>
          <t>SIM-071 (package structure), SIM-114 (FAISS design spec)</t>
        </is>
      </c>
      <c r="M2" s="84" t="inlineStr">
        <is>
          <t>Build order: this engine first (enables Phase 3 play pool testing).</t>
        </is>
      </c>
    </row>
    <row r="3" ht="113.25" customHeight="1" s="47">
      <c r="A3" s="84" t="inlineStr">
        <is>
          <t>SIM-042</t>
        </is>
      </c>
      <c r="B3" s="84" t="inlineStr">
        <is>
          <t>Build batted ball-to-batted ball similarity engine (2.11) — FAISS IVFFlat</t>
        </is>
      </c>
      <c r="C3" s="84" t="inlineStr">
        <is>
          <t>Similarity Engines</t>
        </is>
      </c>
      <c r="D3" s="84" t="inlineStr">
        <is>
          <t>Feature</t>
        </is>
      </c>
      <c r="E3" s="85" t="inlineStr">
        <is>
          <t>P1</t>
        </is>
      </c>
      <c r="F3" s="84" t="inlineStr">
        <is>
          <t>L (1–2 weeks)</t>
        </is>
      </c>
      <c r="G3" s="84" t="inlineStr">
        <is>
          <t>ML Engineer</t>
        </is>
      </c>
      <c r="H3" s="86" t="inlineStr">
        <is>
          <t>Shipped 2026-05-14 (sprint 2026-05-13)</t>
        </is>
      </c>
      <c r="I3" s="84" t="inlineStr">
        <is>
          <t>No</t>
        </is>
      </c>
      <c r="J3" s="84" t="inlineStr">
        <is>
          <t>Batted ball similarity engine using FAISS IVFFlat index. Matches a query batted ball (exit velo, launch angle, pull_relative_spray_angle, bb_type) to similar historical batted balls for fielding resolution in the simulation loop.</t>
        </is>
      </c>
      <c r="K3"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3" s="84" t="inlineStr">
        <is>
          <t>SIM-051 (pull_relative_spray_angle column must exist), SIM-041 (FAISS pattern)</t>
        </is>
      </c>
      <c r="M3" s="84" t="inlineStr">
        <is>
          <t>Required for fielding resolution in Phase 4 Step 4.</t>
        </is>
      </c>
    </row>
    <row r="4" ht="191.25" customHeight="1" s="47">
      <c r="A4" s="84" t="inlineStr">
        <is>
          <t>SIM-043</t>
        </is>
      </c>
      <c r="B4" s="84" t="inlineStr">
        <is>
          <t>Build catcher similarity engine (2.6) — requires schema columns, speed-adjusted CS rate</t>
        </is>
      </c>
      <c r="C4" s="84" t="inlineStr">
        <is>
          <t>Similarity Engines</t>
        </is>
      </c>
      <c r="D4" s="84" t="inlineStr">
        <is>
          <t>Feature</t>
        </is>
      </c>
      <c r="E4" s="85" t="inlineStr">
        <is>
          <t>P1</t>
        </is>
      </c>
      <c r="F4" s="84" t="inlineStr">
        <is>
          <t>L (1–2 weeks)</t>
        </is>
      </c>
      <c r="G4" s="84" t="inlineStr">
        <is>
          <t>Data Engineer + ML Engineer</t>
        </is>
      </c>
      <c r="H4" s="87" t="inlineStr">
        <is>
          <t>Open</t>
        </is>
      </c>
      <c r="I4" s="84" t="inlineStr">
        <is>
          <t>No</t>
        </is>
      </c>
      <c r="J4"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4"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4" s="84" t="inlineStr">
        <is>
          <t>SIM-071, SIM-077 (sprint speed join in profile computor), SIM-084</t>
        </is>
      </c>
      <c r="M4" s="84" t="inlineStr">
        <is>
          <t>Catcher throwing features feed into steal determination — Phase 4 Step 1.</t>
        </is>
      </c>
    </row>
    <row r="5" ht="147" customHeight="1" s="47">
      <c r="A5" s="84" t="inlineStr">
        <is>
          <t>SIM-044</t>
        </is>
      </c>
      <c r="B5" s="84" t="inlineStr">
        <is>
          <t>Build baserunner steal similarity engine (2.5)</t>
        </is>
      </c>
      <c r="C5" s="84" t="inlineStr">
        <is>
          <t>Similarity Engines</t>
        </is>
      </c>
      <c r="D5" s="84" t="inlineStr">
        <is>
          <t>Feature</t>
        </is>
      </c>
      <c r="E5" s="85" t="inlineStr">
        <is>
          <t>P1</t>
        </is>
      </c>
      <c r="F5" s="84" t="inlineStr">
        <is>
          <t>M (3–5 days)</t>
        </is>
      </c>
      <c r="G5" s="84" t="inlineStr">
        <is>
          <t>ML Engineer</t>
        </is>
      </c>
      <c r="H5" s="87" t="inlineStr">
        <is>
          <t>Open</t>
        </is>
      </c>
      <c r="I5" s="84" t="inlineStr">
        <is>
          <t>No</t>
        </is>
      </c>
      <c r="J5"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5"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5" s="84" t="inlineStr">
        <is>
          <t>SIM-071, SIM-070 (below_minimum_sample fix), SIM-077 (sprint speed)</t>
        </is>
      </c>
      <c r="M5" s="84" t="inlineStr">
        <is>
          <t>Distinct from baserunner extra-base engine — steal-specific features and use case.</t>
        </is>
      </c>
    </row>
    <row r="6" ht="102" customHeight="1" s="47">
      <c r="A6" s="84" t="inlineStr">
        <is>
          <t>SIM-045</t>
        </is>
      </c>
      <c r="B6" s="84" t="inlineStr">
        <is>
          <t>Build pitcher-allowing-steals similarity engine (2.7)</t>
        </is>
      </c>
      <c r="C6" s="84" t="inlineStr">
        <is>
          <t>Similarity Engines</t>
        </is>
      </c>
      <c r="D6" s="84" t="inlineStr">
        <is>
          <t>Feature</t>
        </is>
      </c>
      <c r="E6" s="85" t="inlineStr">
        <is>
          <t>P1</t>
        </is>
      </c>
      <c r="F6" s="84" t="inlineStr">
        <is>
          <t>M (3–5 days)</t>
        </is>
      </c>
      <c r="G6" s="84" t="inlineStr">
        <is>
          <t>ML Engineer</t>
        </is>
      </c>
      <c r="H6" s="87" t="inlineStr">
        <is>
          <t>Open</t>
        </is>
      </c>
      <c r="I6" s="84" t="inlineStr">
        <is>
          <t>No</t>
        </is>
      </c>
      <c r="J6"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6"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6" s="84" t="inlineStr">
        <is>
          <t>SIM-071, SIM-059 (revised feature set spec)</t>
        </is>
      </c>
      <c r="M6" s="84" t="inlineStr">
        <is>
          <t>Feed into Phase 4 Step 1 steal attempt probability.</t>
        </is>
      </c>
    </row>
    <row r="7" ht="124.5" customHeight="1" s="47">
      <c r="A7" s="84" t="inlineStr">
        <is>
          <t>SIM-046</t>
        </is>
      </c>
      <c r="B7" s="84" t="inlineStr">
        <is>
          <t>Build manager similarity engine (2.8)</t>
        </is>
      </c>
      <c r="C7" s="84" t="inlineStr">
        <is>
          <t>Similarity Engines</t>
        </is>
      </c>
      <c r="D7" s="84" t="inlineStr">
        <is>
          <t>Feature</t>
        </is>
      </c>
      <c r="E7" s="85" t="inlineStr">
        <is>
          <t>P1</t>
        </is>
      </c>
      <c r="F7" s="84" t="inlineStr">
        <is>
          <t>M (3–5 days)</t>
        </is>
      </c>
      <c r="G7" s="84" t="inlineStr">
        <is>
          <t>ML Engineer + Data Engineer</t>
        </is>
      </c>
      <c r="H7" s="87" t="inlineStr">
        <is>
          <t>Open</t>
        </is>
      </c>
      <c r="I7" s="84" t="inlineStr">
        <is>
          <t>No</t>
        </is>
      </c>
      <c r="J7"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7"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7" s="84" t="inlineStr">
        <is>
          <t>SIM-071, SIM-057 (manager schema additions)</t>
        </is>
      </c>
      <c r="M7" s="84" t="inlineStr">
        <is>
          <t>Manager engine powers Phase 4 Step 7 (manager decision logic).</t>
        </is>
      </c>
    </row>
    <row r="8" ht="135.75" customHeight="1" s="47">
      <c r="A8" s="84" t="inlineStr">
        <is>
          <t>SIM-047</t>
        </is>
      </c>
      <c r="B8" s="84" t="inlineStr">
        <is>
          <t>Build situation-to-situation similarity engine (2.9) — KDTree</t>
        </is>
      </c>
      <c r="C8" s="84" t="inlineStr">
        <is>
          <t>Similarity Engines</t>
        </is>
      </c>
      <c r="D8" s="84" t="inlineStr">
        <is>
          <t>Feature</t>
        </is>
      </c>
      <c r="E8" s="85" t="inlineStr">
        <is>
          <t>P1</t>
        </is>
      </c>
      <c r="F8" s="84" t="inlineStr">
        <is>
          <t>M (3–5 days)</t>
        </is>
      </c>
      <c r="G8" s="84" t="inlineStr">
        <is>
          <t>ML Engineer</t>
        </is>
      </c>
      <c r="H8" s="87" t="inlineStr">
        <is>
          <t>Open</t>
        </is>
      </c>
      <c r="I8" s="84" t="inlineStr">
        <is>
          <t>No</t>
        </is>
      </c>
      <c r="J8"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8"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8" s="84" t="inlineStr">
        <is>
          <t>SIM-071, SIM-085 (situation index), SIM-058 (LI lookup table for features)</t>
        </is>
      </c>
      <c r="M8" s="84" t="inlineStr">
        <is>
          <t>Cross-cutting weight modifier — used to adjust all other engine weights by game situation.</t>
        </is>
      </c>
    </row>
    <row r="9" ht="147" customHeight="1" s="47">
      <c r="A9" s="84" t="inlineStr">
        <is>
          <t>SIM-048</t>
        </is>
      </c>
      <c r="B9" s="84" t="inlineStr">
        <is>
          <t>Build SimilarityEngineRegistry — unified interface for all 11 engines</t>
        </is>
      </c>
      <c r="C9" s="84" t="inlineStr">
        <is>
          <t>Similarity Engines</t>
        </is>
      </c>
      <c r="D9" s="84" t="inlineStr">
        <is>
          <t>Feature</t>
        </is>
      </c>
      <c r="E9" s="85" t="inlineStr">
        <is>
          <t>P1</t>
        </is>
      </c>
      <c r="F9" s="84" t="inlineStr">
        <is>
          <t>M (3–5 days)</t>
        </is>
      </c>
      <c r="G9" s="84" t="inlineStr">
        <is>
          <t>ML Engineer + Backend Developer</t>
        </is>
      </c>
      <c r="H9" s="87" t="inlineStr">
        <is>
          <t>Closed</t>
        </is>
      </c>
      <c r="I9" s="84" t="inlineStr">
        <is>
          <t>No</t>
        </is>
      </c>
      <c r="J9"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9"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9" s="84" t="inlineStr">
        <is>
          <t>SIM-071 (package structure + base.py), all 11 engines complete</t>
        </is>
      </c>
      <c r="M9" s="84" t="inlineStr">
        <is>
          <t>Phase 2 completion gate — registry is the final deliverable.</t>
        </is>
      </c>
    </row>
    <row r="10" ht="90.75" customHeight="1" s="47">
      <c r="A10" s="84" t="inlineStr">
        <is>
          <t>SIM-050</t>
        </is>
      </c>
      <c r="B10" s="84" t="inlineStr">
        <is>
          <t>Merge fielder diagnostics into similarity_diagnostics.py — fix silent CI failure</t>
        </is>
      </c>
      <c r="C10" s="84" t="inlineStr">
        <is>
          <t>Similarity Engines</t>
        </is>
      </c>
      <c r="D10" s="84" t="inlineStr">
        <is>
          <t>Bug</t>
        </is>
      </c>
      <c r="E10" s="85" t="inlineStr">
        <is>
          <t>P1</t>
        </is>
      </c>
      <c r="F10" s="84" t="inlineStr">
        <is>
          <t>S (&lt; 1 day)</t>
        </is>
      </c>
      <c r="G10" s="84" t="inlineStr">
        <is>
          <t>ML Engineer</t>
        </is>
      </c>
      <c r="H10" s="87" t="inlineStr">
        <is>
          <t>Open</t>
        </is>
      </c>
      <c r="I10" s="84" t="inlineStr">
        <is>
          <t>No</t>
        </is>
      </c>
      <c r="J10"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0"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0" s="84" t="inlineStr">
        <is>
          <t>None</t>
        </is>
      </c>
      <c r="M10" s="84" t="inlineStr">
        <is>
          <t>CI regression gate (SIM-154) is incomplete until this is fixed.</t>
        </is>
      </c>
    </row>
    <row r="11" ht="135.75" customHeight="1" s="47">
      <c r="A11" s="84" t="inlineStr">
        <is>
          <t>SIM-051</t>
        </is>
      </c>
      <c r="B11" s="84" t="inlineStr">
        <is>
          <t>Pre-compute pull_relative_spray_angle in sim.outcome_pool at ETL time</t>
        </is>
      </c>
      <c r="C11" s="84" t="inlineStr">
        <is>
          <t>Schema / ETL</t>
        </is>
      </c>
      <c r="D11" s="84" t="inlineStr">
        <is>
          <t>Improvement</t>
        </is>
      </c>
      <c r="E11" s="85" t="inlineStr">
        <is>
          <t>P1</t>
        </is>
      </c>
      <c r="F11" s="84" t="inlineStr">
        <is>
          <t>S (1–2 days)</t>
        </is>
      </c>
      <c r="G11" s="84" t="inlineStr">
        <is>
          <t>Data Engineer</t>
        </is>
      </c>
      <c r="H11" s="87" t="inlineStr">
        <is>
          <t>Closed</t>
        </is>
      </c>
      <c r="I11" s="84" t="inlineStr">
        <is>
          <t>No</t>
        </is>
      </c>
      <c r="J11"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11"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11" s="84" t="inlineStr">
        <is>
          <t>SIM-084 (DuckDB migration pattern via Alembic/DuckDB versioning)</t>
        </is>
      </c>
      <c r="M11" s="84" t="inlineStr">
        <is>
          <t>Blocks SIM-042. Must land before the batted ball FAISS index is built.</t>
        </is>
      </c>
    </row>
    <row r="12" ht="135.75" customHeight="1" s="47">
      <c r="A12" s="84" t="inlineStr">
        <is>
          <t>SIM-052</t>
        </is>
      </c>
      <c r="B12" s="84" t="inlineStr">
        <is>
          <t>Add pitch-archetype pre-filter to pitcher similarity engine</t>
        </is>
      </c>
      <c r="C12" s="84" t="inlineStr">
        <is>
          <t>Similarity Engines</t>
        </is>
      </c>
      <c r="D12" s="84" t="inlineStr">
        <is>
          <t>Improvement</t>
        </is>
      </c>
      <c r="E12" s="88" t="inlineStr">
        <is>
          <t>P2</t>
        </is>
      </c>
      <c r="F12" s="84" t="inlineStr">
        <is>
          <t>S (1–2 days)</t>
        </is>
      </c>
      <c r="G12" s="84" t="inlineStr">
        <is>
          <t>ML Engineer + Baseball Analyst</t>
        </is>
      </c>
      <c r="H12" s="87" t="inlineStr">
        <is>
          <t>Open</t>
        </is>
      </c>
      <c r="I12" s="84" t="inlineStr">
        <is>
          <t>No</t>
        </is>
      </c>
      <c r="J1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1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12" s="84" t="inlineStr">
        <is>
          <t>SIM-041 (pitch-to-pitch engine must exist first)</t>
        </is>
      </c>
      <c r="M12" s="84" t="inlineStr">
        <is>
          <t>Improvement to pitch selection quality — optional filter, not required for correctness.</t>
        </is>
      </c>
    </row>
    <row r="13" ht="113.25" customHeight="1" s="47">
      <c r="A13" s="84" t="inlineStr">
        <is>
          <t>SIM-053</t>
        </is>
      </c>
      <c r="B13" s="84" t="inlineStr">
        <is>
          <t>Add two-strike count-stratified features to batter engine</t>
        </is>
      </c>
      <c r="C13" s="84" t="inlineStr">
        <is>
          <t>Similarity Engines</t>
        </is>
      </c>
      <c r="D13" s="84" t="inlineStr">
        <is>
          <t>Improvement</t>
        </is>
      </c>
      <c r="E13" s="88" t="inlineStr">
        <is>
          <t>P2</t>
        </is>
      </c>
      <c r="F13" s="84" t="inlineStr">
        <is>
          <t>M (3–5 days)</t>
        </is>
      </c>
      <c r="G13" s="84" t="inlineStr">
        <is>
          <t>ML Engineer + Data Engineer</t>
        </is>
      </c>
      <c r="H13" s="87" t="inlineStr">
        <is>
          <t>Open</t>
        </is>
      </c>
      <c r="I13" s="84" t="inlineStr">
        <is>
          <t>No</t>
        </is>
      </c>
      <c r="J13"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13"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13" s="84" t="inlineStr">
        <is>
          <t>SIM-069 (platoon calibration fix should land first)</t>
        </is>
      </c>
      <c r="M13" s="84" t="inlineStr">
        <is>
          <t>Important for strikeout prop accuracy — the primary prop market.</t>
        </is>
      </c>
    </row>
    <row r="14" ht="102" customHeight="1" s="47">
      <c r="A14" s="84" t="inlineStr">
        <is>
          <t>SIM-054</t>
        </is>
      </c>
      <c r="B14" s="84" t="inlineStr">
        <is>
          <t>Replace xBA/xSLG with wOBAcon/ISO in batter power sub-score</t>
        </is>
      </c>
      <c r="C14" s="84" t="inlineStr">
        <is>
          <t>Similarity Engines</t>
        </is>
      </c>
      <c r="D14" s="84" t="inlineStr">
        <is>
          <t>Improvement</t>
        </is>
      </c>
      <c r="E14" s="88" t="inlineStr">
        <is>
          <t>P2</t>
        </is>
      </c>
      <c r="F14" s="84" t="inlineStr">
        <is>
          <t>S (1–2 days)</t>
        </is>
      </c>
      <c r="G14" s="84" t="inlineStr">
        <is>
          <t>ML Engineer + Data Engineer</t>
        </is>
      </c>
      <c r="H14" s="87" t="inlineStr">
        <is>
          <t>Open</t>
        </is>
      </c>
      <c r="I14" s="84" t="inlineStr">
        <is>
          <t>No</t>
        </is>
      </c>
      <c r="J14"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14"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14" s="84" t="inlineStr">
        <is>
          <t>Baseball Analyst sign-off</t>
        </is>
      </c>
      <c r="M14" s="84" t="inlineStr">
        <is>
          <t>Minor feature improvement — lower priority than core bugs but should land in Phase 2.</t>
        </is>
      </c>
    </row>
    <row r="15" ht="124.5" customHeight="1" s="47">
      <c r="A15" s="84" t="inlineStr">
        <is>
          <t>SIM-055</t>
        </is>
      </c>
      <c r="B15" s="84" t="inlineStr">
        <is>
          <t>Design directional HR model with spray-angle park factor splits</t>
        </is>
      </c>
      <c r="C15" s="84" t="inlineStr">
        <is>
          <t>Simulation Loop</t>
        </is>
      </c>
      <c r="D15" s="84" t="inlineStr">
        <is>
          <t>Feature</t>
        </is>
      </c>
      <c r="E15" s="85" t="inlineStr">
        <is>
          <t>P1</t>
        </is>
      </c>
      <c r="F15" s="84" t="inlineStr">
        <is>
          <t>M (3–5 days)</t>
        </is>
      </c>
      <c r="G15" s="84" t="inlineStr">
        <is>
          <t>Data Engineer + Baseball Analyst</t>
        </is>
      </c>
      <c r="H15" s="87" t="inlineStr">
        <is>
          <t>Open</t>
        </is>
      </c>
      <c r="I15" s="84" t="inlineStr">
        <is>
          <t>No</t>
        </is>
      </c>
      <c r="J1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1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15" s="84" t="inlineStr">
        <is>
          <t>SIM-094 (park_factors schema), SIM-063 (park_factors effective_date)</t>
        </is>
      </c>
      <c r="M15" s="84" t="inlineStr">
        <is>
          <t>Directional HR model is critical for HR prop calibration — same exit conditions produce different HR rates by park and direction.</t>
        </is>
      </c>
    </row>
    <row r="16" ht="113.25" customHeight="1" s="47">
      <c r="A16" s="84" t="inlineStr">
        <is>
          <t>SIM-056</t>
        </is>
      </c>
      <c r="B16" s="84" t="inlineStr">
        <is>
          <t>Design count-stratified foul ball frequency weighting for outcome pool</t>
        </is>
      </c>
      <c r="C16" s="84" t="inlineStr">
        <is>
          <t>Simulation Loop</t>
        </is>
      </c>
      <c r="D16" s="84" t="inlineStr">
        <is>
          <t>Feature</t>
        </is>
      </c>
      <c r="E16" s="85" t="inlineStr">
        <is>
          <t>P1</t>
        </is>
      </c>
      <c r="F16" s="84" t="inlineStr">
        <is>
          <t>S (1–2 days)</t>
        </is>
      </c>
      <c r="G16" s="84" t="inlineStr">
        <is>
          <t>Backend Developer + Baseball Analyst</t>
        </is>
      </c>
      <c r="H16" s="87" t="inlineStr">
        <is>
          <t>Closed</t>
        </is>
      </c>
      <c r="I16" s="84" t="inlineStr">
        <is>
          <t>No</t>
        </is>
      </c>
      <c r="J16"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16"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16" s="84" t="inlineStr">
        <is>
          <t>SIM-111 (play pool query API contracts)</t>
        </is>
      </c>
      <c r="M16" s="84" t="inlineStr">
        <is>
          <t>Important for K-rate prop accuracy — undercounting fouls shortens simulated PA lengths and inflates K rates.</t>
        </is>
      </c>
    </row>
    <row r="17" ht="147" customHeight="1" s="47">
      <c r="A17" s="84" t="inlineStr">
        <is>
          <t>SIM-057</t>
        </is>
      </c>
      <c r="B17" s="84" t="inlineStr">
        <is>
          <t>Add opener_rate, extreme_shift_rate, intentional_walk_rate to manager profiles</t>
        </is>
      </c>
      <c r="C17" s="84" t="inlineStr">
        <is>
          <t>Schema / ETL</t>
        </is>
      </c>
      <c r="D17" s="84" t="inlineStr">
        <is>
          <t>Improvement</t>
        </is>
      </c>
      <c r="E17" s="85" t="inlineStr">
        <is>
          <t>P1</t>
        </is>
      </c>
      <c r="F17" s="84" t="inlineStr">
        <is>
          <t>M (3–5 days)</t>
        </is>
      </c>
      <c r="G17" s="84" t="inlineStr">
        <is>
          <t>Data Engineer + ML Engineer</t>
        </is>
      </c>
      <c r="H17" s="87" t="inlineStr">
        <is>
          <t>Open</t>
        </is>
      </c>
      <c r="I17" s="84" t="inlineStr">
        <is>
          <t>No</t>
        </is>
      </c>
      <c r="J17"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17"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17" s="84" t="inlineStr">
        <is>
          <t>SIM-084 (DuckDB migration)</t>
        </is>
      </c>
      <c r="M17" s="84" t="inlineStr">
        <is>
          <t>Manager similarity engine (SIM-046) cannot be meaningfully built without these features.</t>
        </is>
      </c>
    </row>
    <row r="18" ht="147" customHeight="1" s="47">
      <c r="A18" s="84" t="inlineStr">
        <is>
          <t>SIM-059</t>
        </is>
      </c>
      <c r="B18" s="84" t="inlineStr">
        <is>
          <t>Revise pitcher-allowing-SBs feature set: stretch timing, pickoff success, delivery metrics</t>
        </is>
      </c>
      <c r="C18" s="84" t="inlineStr">
        <is>
          <t>Similarity Engines</t>
        </is>
      </c>
      <c r="D18" s="84" t="inlineStr">
        <is>
          <t>Improvement</t>
        </is>
      </c>
      <c r="E18" s="85" t="inlineStr">
        <is>
          <t>P1</t>
        </is>
      </c>
      <c r="F18" s="84" t="inlineStr">
        <is>
          <t>M (3–5 days)</t>
        </is>
      </c>
      <c r="G18" s="84" t="inlineStr">
        <is>
          <t>ML Engineer + Data Engineer</t>
        </is>
      </c>
      <c r="H18" s="87" t="inlineStr">
        <is>
          <t>Open</t>
        </is>
      </c>
      <c r="I18" s="84" t="inlineStr">
        <is>
          <t>No</t>
        </is>
      </c>
      <c r="J18"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18"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18" s="84" t="inlineStr">
        <is>
          <t>Baseball Analyst sign-off required before implementation</t>
        </is>
      </c>
      <c r="M18" s="84" t="inlineStr">
        <is>
          <t>Feature definition must be locked before SIM-045 (pitcher-steal engine) is built.</t>
        </is>
      </c>
    </row>
    <row r="19" ht="124.5" customHeight="1" s="47">
      <c r="A19" s="84" t="inlineStr">
        <is>
          <t>SIM-061</t>
        </is>
      </c>
      <c r="B19" s="84" t="inlineStr">
        <is>
          <t>Add pitch-type conditioning coefficients to steal attempt probability</t>
        </is>
      </c>
      <c r="C19" s="84" t="inlineStr">
        <is>
          <t>Simulation Loop</t>
        </is>
      </c>
      <c r="D19" s="84" t="inlineStr">
        <is>
          <t>Feature</t>
        </is>
      </c>
      <c r="E19" s="85" t="inlineStr">
        <is>
          <t>P1</t>
        </is>
      </c>
      <c r="F19" s="84" t="inlineStr">
        <is>
          <t>S (1–2 days)</t>
        </is>
      </c>
      <c r="G19" s="84" t="inlineStr">
        <is>
          <t>Backend Developer + Baseball Analyst</t>
        </is>
      </c>
      <c r="H19" s="87" t="inlineStr">
        <is>
          <t>Open</t>
        </is>
      </c>
      <c r="I19" s="84" t="inlineStr">
        <is>
          <t>No</t>
        </is>
      </c>
      <c r="J19"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19"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19" s="84" t="inlineStr">
        <is>
          <t>SIM-108 (step_steal.py stub), SIM-044 (baserunner steal engine)</t>
        </is>
      </c>
      <c r="M19" s="84" t="inlineStr">
        <is>
          <t>Relatively small improvement in isolation but compounds over many simulation iterations.</t>
        </is>
      </c>
    </row>
    <row r="20" ht="147" customHeight="1" s="47">
      <c r="A20" s="84" t="inlineStr">
        <is>
          <t>SIM-062</t>
        </is>
      </c>
      <c r="B20" s="84" t="inlineStr">
        <is>
          <t>Upgrade catcher framing to logistic regression on zone distance features</t>
        </is>
      </c>
      <c r="C20" s="84" t="inlineStr">
        <is>
          <t>Simulation Loop</t>
        </is>
      </c>
      <c r="D20" s="84" t="inlineStr">
        <is>
          <t>Feature</t>
        </is>
      </c>
      <c r="E20" s="85" t="inlineStr">
        <is>
          <t>P1</t>
        </is>
      </c>
      <c r="F20" s="84" t="inlineStr">
        <is>
          <t>M (3–5 days)</t>
        </is>
      </c>
      <c r="G20" s="84" t="inlineStr">
        <is>
          <t>Data Engineer + Baseball Analyst</t>
        </is>
      </c>
      <c r="H20" s="87" t="inlineStr">
        <is>
          <t>Open</t>
        </is>
      </c>
      <c r="I20" s="84" t="inlineStr">
        <is>
          <t>No</t>
        </is>
      </c>
      <c r="J20"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0"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0" s="84" t="inlineStr">
        <is>
          <t>SIM-043 (catcher schema columns), SIM-108 (step_outcome.py stub)</t>
        </is>
      </c>
      <c r="M20" s="84" t="inlineStr">
        <is>
          <t>Framing directly impacts called strike rate which affects pitcher K totals — relevant for K prop calibration.</t>
        </is>
      </c>
    </row>
    <row r="21" ht="135.75" customHeight="1" s="47">
      <c r="A21" s="84" t="inlineStr">
        <is>
          <t>SIM-063</t>
        </is>
      </c>
      <c r="B21" s="84" t="inlineStr">
        <is>
          <t>Add effective_date and prior_seasons_factor to park_factors — extended with DE schema work</t>
        </is>
      </c>
      <c r="C21" s="84" t="inlineStr">
        <is>
          <t>Schema / ETL</t>
        </is>
      </c>
      <c r="D21" s="84" t="inlineStr">
        <is>
          <t>Feature</t>
        </is>
      </c>
      <c r="E21" s="85" t="inlineStr">
        <is>
          <t>P1</t>
        </is>
      </c>
      <c r="F21" s="84" t="inlineStr">
        <is>
          <t>M (3–5 days)</t>
        </is>
      </c>
      <c r="G21" s="84" t="inlineStr">
        <is>
          <t>Data Engineer</t>
        </is>
      </c>
      <c r="H21" s="87" t="inlineStr">
        <is>
          <t>Open</t>
        </is>
      </c>
      <c r="I21" s="84" t="inlineStr">
        <is>
          <t>No</t>
        </is>
      </c>
      <c r="J21"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21"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21" s="84" t="inlineStr">
        <is>
          <t>SIM-084 (DuckDB migration versioning)</t>
        </is>
      </c>
      <c r="M21" s="84" t="inlineStr">
        <is>
          <t>Must complete before SIM-094 (directional HR distances) — both modify park_factors; PK change first.</t>
        </is>
      </c>
    </row>
    <row r="22" ht="147" customHeight="1" s="47">
      <c r="A22" s="84" t="inlineStr">
        <is>
          <t>SIM-065</t>
        </is>
      </c>
      <c r="B22" s="84" t="inlineStr">
        <is>
          <t>Ghost runner explicit season conditioning + full GameState field spec</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2"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2" s="84" t="inlineStr">
        <is>
          <t>SIM-110 (GameState spec), SIM-108 (GameState dataclass implementation)</t>
        </is>
      </c>
      <c r="M22" s="84" t="inlineStr">
        <is>
          <t>Season conditioning prevents incorrect ghost runner behavior when simulating historical 2022 games.</t>
        </is>
      </c>
    </row>
    <row r="23" ht="23.25" customHeight="1" s="47">
      <c r="A23" s="84" t="inlineStr">
        <is>
          <t>SIM-066</t>
        </is>
      </c>
      <c r="B23" s="84" t="inlineStr">
        <is>
          <t>BaserunnerStealSimilarityEngine (Step 2.5)</t>
        </is>
      </c>
      <c r="C23" s="84" t="inlineStr">
        <is>
          <t>Similarity Engines</t>
        </is>
      </c>
      <c r="D23" s="84" t="inlineStr">
        <is>
          <t>Feature</t>
        </is>
      </c>
      <c r="E23" s="85" t="inlineStr">
        <is>
          <t>P1</t>
        </is>
      </c>
      <c r="F23" s="84" t="inlineStr">
        <is>
          <t>M</t>
        </is>
      </c>
      <c r="G23" s="84" t="inlineStr">
        <is>
          <t>ML Engineer</t>
        </is>
      </c>
      <c r="H23" s="89" t="inlineStr">
        <is>
          <t>Closed</t>
        </is>
      </c>
      <c r="I23" s="84" t="inlineStr">
        <is>
          <t>No</t>
        </is>
      </c>
      <c r="J23" s="84" t="inlineStr">
        <is>
          <t>No engine matched baserunners by steal tendency / first-step / success.</t>
        </is>
      </c>
      <c r="K23" s="84" t="inlineStr">
        <is>
          <t>RBF engine with 3 sub-scores (tendency 40, jump 35, success 25); EB_N_PRIOR=20.</t>
        </is>
      </c>
      <c r="L23" s="84" t="inlineStr">
        <is>
          <t>SIM-071 (package structure)</t>
        </is>
      </c>
      <c r="M23" s="84" t="inlineStr">
        <is>
          <t>Shipped sprint 2026-05-05. Full details in CHANGES.md.</t>
        </is>
      </c>
    </row>
    <row r="24" ht="23.25" customHeight="1" s="47">
      <c r="A24" s="84" t="inlineStr">
        <is>
          <t>SIM-067</t>
        </is>
      </c>
      <c r="B24" s="84" t="inlineStr">
        <is>
          <t>CatcherSimilarityEngine (Step 2.6)</t>
        </is>
      </c>
      <c r="C24" s="84" t="inlineStr">
        <is>
          <t>Similarity Engines</t>
        </is>
      </c>
      <c r="D24" s="84" t="inlineStr">
        <is>
          <t>Feature</t>
        </is>
      </c>
      <c r="E24" s="85" t="inlineStr">
        <is>
          <t>P1</t>
        </is>
      </c>
      <c r="F24" s="84" t="inlineStr">
        <is>
          <t>M</t>
        </is>
      </c>
      <c r="G24" s="84" t="inlineStr">
        <is>
          <t>ML Engineer</t>
        </is>
      </c>
      <c r="H24" s="89" t="inlineStr">
        <is>
          <t>Closed</t>
        </is>
      </c>
      <c r="I24" s="84" t="inlineStr">
        <is>
          <t>No</t>
        </is>
      </c>
      <c r="J24" s="84" t="inlineStr">
        <is>
          <t>Multi-dimensional catcher profile (framing, blocking, throwing, offense).</t>
        </is>
      </c>
      <c r="K24" s="84" t="inlineStr">
        <is>
          <t>RBF with 4 sub-scores; EB_N_PRIOR=15; min 300 pitches received.</t>
        </is>
      </c>
      <c r="L24" s="84" t="inlineStr">
        <is>
          <t>SIM-071</t>
        </is>
      </c>
      <c r="M24" s="84" t="inlineStr">
        <is>
          <t>Shipped sprint 2026-05-05. Superseded for throwing split by SIM-072.</t>
        </is>
      </c>
    </row>
    <row r="25" ht="23.25" customHeight="1" s="47">
      <c r="A25" s="84" t="inlineStr">
        <is>
          <t>SIM-068</t>
        </is>
      </c>
      <c r="B25" s="84" t="inlineStr">
        <is>
          <t>PitcherStealSimilarityEngine (Step 2.7)</t>
        </is>
      </c>
      <c r="C25" s="84" t="inlineStr">
        <is>
          <t>Similarity Engines</t>
        </is>
      </c>
      <c r="D25" s="84" t="inlineStr">
        <is>
          <t>Feature</t>
        </is>
      </c>
      <c r="E25" s="85" t="inlineStr">
        <is>
          <t>P1</t>
        </is>
      </c>
      <c r="F25" s="84" t="inlineStr">
        <is>
          <t>M</t>
        </is>
      </c>
      <c r="G25" s="84" t="inlineStr">
        <is>
          <t>ML Engineer</t>
        </is>
      </c>
      <c r="H25" s="89" t="inlineStr">
        <is>
          <t>Closed</t>
        </is>
      </c>
      <c r="I25" s="84" t="inlineStr">
        <is>
          <t>No</t>
        </is>
      </c>
      <c r="J25" s="84" t="inlineStr">
        <is>
          <t>Pitcher hold-runner / disengagement / pickoff profile.</t>
        </is>
      </c>
      <c r="K25" s="84" t="inlineStr">
        <is>
          <t>RBF with delivery/disengagement/outcomes; EB_N_PRIOR=25.</t>
        </is>
      </c>
      <c r="L25" s="84" t="inlineStr">
        <is>
          <t>SIM-071</t>
        </is>
      </c>
      <c r="M25" s="84" t="inlineStr">
        <is>
          <t>Shipped sprint 2026-05-05.</t>
        </is>
      </c>
    </row>
    <row r="26" ht="23.25" customHeight="1" s="47">
      <c r="A26" s="84" t="inlineStr">
        <is>
          <t>SIM-069</t>
        </is>
      </c>
      <c r="B26" s="84" t="inlineStr">
        <is>
          <t>ManagerSimilarityEngine (Step 2.8)</t>
        </is>
      </c>
      <c r="C26" s="84" t="inlineStr">
        <is>
          <t>Similarity Engines</t>
        </is>
      </c>
      <c r="D26" s="84" t="inlineStr">
        <is>
          <t>Feature</t>
        </is>
      </c>
      <c r="E26" s="85" t="inlineStr">
        <is>
          <t>P1</t>
        </is>
      </c>
      <c r="F26" s="84" t="inlineStr">
        <is>
          <t>M</t>
        </is>
      </c>
      <c r="G26" s="84" t="inlineStr">
        <is>
          <t>ML Engineer</t>
        </is>
      </c>
      <c r="H26" s="89" t="inlineStr">
        <is>
          <t>Closed</t>
        </is>
      </c>
      <c r="I26" s="84" t="inlineStr">
        <is>
          <t>No</t>
        </is>
      </c>
      <c r="J26" s="84" t="inlineStr">
        <is>
          <t>Manager behavioural fingerprint (pitcher usage, aggression, platoon).</t>
        </is>
      </c>
      <c r="K26" s="84" t="inlineStr">
        <is>
          <t>RBF with 3 sub-scores; EB_N_PRIOR=30; min 50 games.</t>
        </is>
      </c>
      <c r="L26" s="84" t="inlineStr">
        <is>
          <t>SIM-071</t>
        </is>
      </c>
      <c r="M26" s="84" t="inlineStr">
        <is>
          <t>Shipped sprint 2026-05-05.</t>
        </is>
      </c>
    </row>
    <row r="27" ht="23.25" customHeight="1" s="47">
      <c r="A27" s="84" t="inlineStr">
        <is>
          <t>SIM-070</t>
        </is>
      </c>
      <c r="B27" s="84" t="inlineStr">
        <is>
          <t>SituationSimilarityEngine (Step 2.9) — KDTree</t>
        </is>
      </c>
      <c r="C27" s="84" t="inlineStr">
        <is>
          <t>Similarity Engines</t>
        </is>
      </c>
      <c r="D27" s="84" t="inlineStr">
        <is>
          <t>Feature</t>
        </is>
      </c>
      <c r="E27" s="85" t="inlineStr">
        <is>
          <t>P1</t>
        </is>
      </c>
      <c r="F27" s="84" t="inlineStr">
        <is>
          <t>L</t>
        </is>
      </c>
      <c r="G27" s="84" t="inlineStr">
        <is>
          <t>ML Engineer</t>
        </is>
      </c>
      <c r="H27" s="89" t="inlineStr">
        <is>
          <t>Closed</t>
        </is>
      </c>
      <c r="I27" s="84" t="inlineStr">
        <is>
          <t>No</t>
        </is>
      </c>
      <c r="J27" s="84" t="inlineStr">
        <is>
          <t>Per-PA situation lookup (count + outs + baserunners + leverage).</t>
        </is>
      </c>
      <c r="K27" s="84" t="inlineStr">
        <is>
          <t>scipy KDTree; 11-feature SituationVector; importance-weighted scaling.</t>
        </is>
      </c>
      <c r="L27" s="84" t="inlineStr">
        <is>
          <t>SIM-071</t>
        </is>
      </c>
      <c r="M27" s="84" t="inlineStr">
        <is>
          <t>Shipped sprint 2026-05-05.</t>
        </is>
      </c>
    </row>
    <row r="28" ht="23.25" customHeight="1" s="47">
      <c r="A28" s="84" t="inlineStr">
        <is>
          <t>SIM-071</t>
        </is>
      </c>
      <c r="B28" s="84" t="inlineStr">
        <is>
          <t>ML Engine Tests + Diagnostics Enhancement</t>
        </is>
      </c>
      <c r="C28" s="84" t="inlineStr">
        <is>
          <t>Testing</t>
        </is>
      </c>
      <c r="D28" s="84" t="inlineStr">
        <is>
          <t>Feature</t>
        </is>
      </c>
      <c r="E28" s="85" t="inlineStr">
        <is>
          <t>P1</t>
        </is>
      </c>
      <c r="F28" s="84" t="inlineStr">
        <is>
          <t>M</t>
        </is>
      </c>
      <c r="G28" s="84" t="inlineStr">
        <is>
          <t>ML Engineer</t>
        </is>
      </c>
      <c r="H28" s="89" t="inlineStr">
        <is>
          <t>Closed</t>
        </is>
      </c>
      <c r="I28" s="84" t="inlineStr">
        <is>
          <t>No</t>
        </is>
      </c>
      <c r="J28" s="84" t="inlineStr">
        <is>
          <t>No tests for SIM-066..070 + run_generic_diagnostics didn't exist.</t>
        </is>
      </c>
      <c r="K28" s="84" t="inlineStr">
        <is>
          <t>Added run_generic_diagnostics; ~50 new unit tests across 7 classes.</t>
        </is>
      </c>
      <c r="L28" s="84" t="inlineStr">
        <is>
          <t>SIM-066..070</t>
        </is>
      </c>
      <c r="M28" s="84" t="inlineStr">
        <is>
          <t>Shipped sprint 2026-05-05.</t>
        </is>
      </c>
    </row>
    <row r="29" ht="157.5" customHeight="1" s="47">
      <c r="A29" s="84" t="inlineStr">
        <is>
          <t>SIM-072</t>
        </is>
      </c>
      <c r="B29" s="84" t="inlineStr">
        <is>
          <t>CatcherSimilarityEngine v2 — split throwing into Execution + Deterrence</t>
        </is>
      </c>
      <c r="C29" s="84" t="inlineStr">
        <is>
          <t>Similarity Engines</t>
        </is>
      </c>
      <c r="D29" s="84" t="inlineStr">
        <is>
          <t>Enhancement</t>
        </is>
      </c>
      <c r="E29" s="85" t="inlineStr">
        <is>
          <t>P1</t>
        </is>
      </c>
      <c r="F29" s="84" t="inlineStr">
        <is>
          <t>M (3–5 days)</t>
        </is>
      </c>
      <c r="G29" s="84" t="inlineStr">
        <is>
          <t>ML Engineer</t>
        </is>
      </c>
      <c r="H29" s="86" t="inlineStr">
        <is>
          <t>Shipped 2026-05-14 (sprint 2026-05-13)</t>
        </is>
      </c>
      <c r="I29" s="84" t="inlineStr">
        <is>
          <t>No</t>
        </is>
      </c>
      <c r="J29"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29"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29" s="84" t="inlineStr">
        <is>
          <t>SIM-073 (data dependency)</t>
        </is>
      </c>
      <c r="M29" s="84" t="inlineStr">
        <is>
          <t>Supersedes the composite weight scheme from SIM-067.</t>
        </is>
      </c>
    </row>
    <row r="30" ht="147" customHeight="1" s="47">
      <c r="A30" s="84" t="inlineStr">
        <is>
          <t>SIM-073</t>
        </is>
      </c>
      <c r="B30" s="84" t="inlineStr">
        <is>
          <t>Add steal_attempt_rate_against column to derived.catcher_season_metrics</t>
        </is>
      </c>
      <c r="C30" s="84" t="inlineStr">
        <is>
          <t>Schema / ETL</t>
        </is>
      </c>
      <c r="D30" s="84" t="inlineStr">
        <is>
          <t>Gap</t>
        </is>
      </c>
      <c r="E30" s="85" t="inlineStr">
        <is>
          <t>P1</t>
        </is>
      </c>
      <c r="F30" s="84" t="inlineStr">
        <is>
          <t>S (1–2 days)</t>
        </is>
      </c>
      <c r="G30" s="84" t="inlineStr">
        <is>
          <t>Data Engineer</t>
        </is>
      </c>
      <c r="H30" s="86" t="inlineStr">
        <is>
          <t>Shipped 2026-05-14 (sprint 2026-05-13)</t>
        </is>
      </c>
      <c r="I30" s="84" t="inlineStr">
        <is>
          <t>No</t>
        </is>
      </c>
      <c r="J30" s="84" t="inlineStr">
        <is>
          <t>SIM-072 v2 needs a Deterrence sub-score driven by the rate at which opposing runners attempt to steal against this catcher per PA opportunity. Column doesn't exist yet on the derived table.</t>
        </is>
      </c>
      <c r="K30"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30" s="84" t="inlineStr">
        <is>
          <t>SIM-084 (DuckDB migration pattern)</t>
        </is>
      </c>
      <c r="M30" s="84" t="inlineStr">
        <is>
          <t>Blocks SIM-072.</t>
        </is>
      </c>
    </row>
    <row r="31" ht="135.75" customHeight="1" s="47">
      <c r="A31" s="84" t="inlineStr">
        <is>
          <t>SIM-074</t>
        </is>
      </c>
      <c r="B31" s="84" t="inlineStr">
        <is>
          <t>Fix barrel_rate computation — implement full Statcast sliding-scale definition</t>
        </is>
      </c>
      <c r="C31" s="84" t="inlineStr">
        <is>
          <t>Schema / ETL</t>
        </is>
      </c>
      <c r="D31" s="84" t="inlineStr">
        <is>
          <t>Bug</t>
        </is>
      </c>
      <c r="E31" s="85" t="inlineStr">
        <is>
          <t>P1</t>
        </is>
      </c>
      <c r="F31" s="84" t="inlineStr">
        <is>
          <t>S (1–2 days)</t>
        </is>
      </c>
      <c r="G31" s="84" t="inlineStr">
        <is>
          <t>Data Engineer</t>
        </is>
      </c>
      <c r="H31" s="87" t="inlineStr">
        <is>
          <t>Closed</t>
        </is>
      </c>
      <c r="I31" s="84" t="inlineStr">
        <is>
          <t>No</t>
        </is>
      </c>
      <c r="J31"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31"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31" s="84" t="inlineStr">
        <is>
          <t>None</t>
        </is>
      </c>
      <c r="M31" s="84" t="inlineStr">
        <is>
          <t>Affects power sub-score and HR prop calibration. Also confirms avg_launch_angle is populated.</t>
        </is>
      </c>
    </row>
    <row r="32" ht="168.75" customHeight="1" s="47">
      <c r="A32" s="84" t="inlineStr">
        <is>
          <t>SIM-075</t>
        </is>
      </c>
      <c r="B32" s="84" t="inlineStr">
        <is>
          <t>Vectorize arsenal W2 cache lookup — replace O(N) Python dict loop with NumPy matrix row slice</t>
        </is>
      </c>
      <c r="C32" s="84" t="inlineStr">
        <is>
          <t>Performance</t>
        </is>
      </c>
      <c r="D32" s="84" t="inlineStr">
        <is>
          <t>Improvement</t>
        </is>
      </c>
      <c r="E32" s="85" t="inlineStr">
        <is>
          <t>P1</t>
        </is>
      </c>
      <c r="F32" s="84" t="inlineStr">
        <is>
          <t>M (3–5 days)</t>
        </is>
      </c>
      <c r="G32" s="84" t="inlineStr">
        <is>
          <t>ML Engineer + Performance Engineer</t>
        </is>
      </c>
      <c r="H32" s="87" t="inlineStr">
        <is>
          <t>Closed</t>
        </is>
      </c>
      <c r="I32" s="84" t="inlineStr">
        <is>
          <t>No</t>
        </is>
      </c>
      <c r="J32"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2"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2" s="84" t="inlineStr">
        <is>
          <t>SIM-071 (base.py refactor should happen first)</t>
        </is>
      </c>
      <c r="M32" s="84" t="inlineStr">
        <is>
          <t>FATAL SLA risk if not fixed before Phase 4 simulation loop builds on top of the cache.</t>
        </is>
      </c>
    </row>
    <row r="33" ht="168.75" customHeight="1" s="47">
      <c r="A33" s="84" t="inlineStr">
        <is>
          <t>SIM-076</t>
        </is>
      </c>
      <c r="B33" s="84" t="inlineStr">
        <is>
          <t>Add recency_weight to all three sim pool tables + walk-forward backtesting harness</t>
        </is>
      </c>
      <c r="C33" s="84" t="inlineStr">
        <is>
          <t>Schema / ETL</t>
        </is>
      </c>
      <c r="D33" s="84" t="inlineStr">
        <is>
          <t>Improvement</t>
        </is>
      </c>
      <c r="E33" s="85" t="inlineStr">
        <is>
          <t>P1</t>
        </is>
      </c>
      <c r="F33" s="84" t="inlineStr">
        <is>
          <t>L (1–2 weeks)</t>
        </is>
      </c>
      <c r="G33" s="84" t="inlineStr">
        <is>
          <t>Data Engineer + ML Engineer</t>
        </is>
      </c>
      <c r="H33" s="87" t="inlineStr">
        <is>
          <t>Closed</t>
        </is>
      </c>
      <c r="I33" s="84" t="inlineStr">
        <is>
          <t>No</t>
        </is>
      </c>
      <c r="J33"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3"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3" s="84" t="inlineStr">
        <is>
          <t>SIM-084, SIM-133 (closing line for BSS calculation), SIM-048 (registry)</t>
        </is>
      </c>
      <c r="M33" s="84" t="inlineStr">
        <is>
          <t>Phase 3 cannot begin until this validates that the engines are predictive.</t>
        </is>
      </c>
    </row>
    <row r="34" ht="147" customHeight="1" s="47">
      <c r="A34" s="84" t="inlineStr">
        <is>
          <t>SIM-077</t>
        </is>
      </c>
      <c r="B34" s="84" t="inlineStr">
        <is>
          <t>Join raw.sprint_speed into baserunner and fielder profile computations — replace proxy and hardcoded defaults</t>
        </is>
      </c>
      <c r="C34" s="84" t="inlineStr">
        <is>
          <t>Schema / ETL</t>
        </is>
      </c>
      <c r="D34" s="84" t="inlineStr">
        <is>
          <t>Bug</t>
        </is>
      </c>
      <c r="E34" s="85" t="inlineStr">
        <is>
          <t>P1</t>
        </is>
      </c>
      <c r="F34" s="84" t="inlineStr">
        <is>
          <t>S (1–2 days)</t>
        </is>
      </c>
      <c r="G34" s="84" t="inlineStr">
        <is>
          <t>Data Engineer</t>
        </is>
      </c>
      <c r="H34" s="87" t="inlineStr">
        <is>
          <t>Open</t>
        </is>
      </c>
      <c r="I34" s="84" t="inlineStr">
        <is>
          <t>No</t>
        </is>
      </c>
      <c r="J34"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34"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34" s="84" t="inlineStr">
        <is>
          <t>etl_sprint_speed_loader.py must have been run for 2022-2025</t>
        </is>
      </c>
      <c r="M34" s="84" t="inlineStr">
        <is>
          <t>The sprint speed table was built specifically to fix this — it's just not wired in yet.</t>
        </is>
      </c>
    </row>
    <row r="35" ht="147" customHeight="1" s="47">
      <c r="A35" s="84" t="inlineStr">
        <is>
          <t>SIM-078</t>
        </is>
      </c>
      <c r="B35" s="84" t="inlineStr">
        <is>
          <t>Apply quantile normalization to right-skewed OF arm metrics before Z-scoring</t>
        </is>
      </c>
      <c r="C35" s="84" t="inlineStr">
        <is>
          <t>Similarity Engines</t>
        </is>
      </c>
      <c r="D35" s="84" t="inlineStr">
        <is>
          <t>Improvement</t>
        </is>
      </c>
      <c r="E35" s="85" t="inlineStr">
        <is>
          <t>P1</t>
        </is>
      </c>
      <c r="F35" s="84" t="inlineStr">
        <is>
          <t>S (1–2 days)</t>
        </is>
      </c>
      <c r="G35" s="84" t="inlineStr">
        <is>
          <t>ML Engineer</t>
        </is>
      </c>
      <c r="H35" s="87" t="inlineStr">
        <is>
          <t>Open</t>
        </is>
      </c>
      <c r="I35" s="84" t="inlineStr">
        <is>
          <t>No</t>
        </is>
      </c>
      <c r="J35"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35"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35" s="84" t="inlineStr">
        <is>
          <t>SIM-071 (base.py)</t>
        </is>
      </c>
      <c r="M35" s="84" t="inlineStr">
        <is>
          <t>Correctly represents the continuous variation in arm strength that gets compressed by Z-scoring.</t>
        </is>
      </c>
    </row>
    <row r="36" ht="135.75" customHeight="1" s="47">
      <c r="A36" s="84" t="inlineStr">
        <is>
          <t>SIM-079</t>
        </is>
      </c>
      <c r="B36" s="84" t="inlineStr">
        <is>
          <t>Add season_weight parameter to calibrate_sigma() — calibration must reflect recency-weighted population</t>
        </is>
      </c>
      <c r="C36" s="84" t="inlineStr">
        <is>
          <t>Similarity Engines</t>
        </is>
      </c>
      <c r="D36" s="84" t="inlineStr">
        <is>
          <t>Improvement</t>
        </is>
      </c>
      <c r="E36" s="85" t="inlineStr">
        <is>
          <t>P1</t>
        </is>
      </c>
      <c r="F36" s="84" t="inlineStr">
        <is>
          <t>S (1–2 days)</t>
        </is>
      </c>
      <c r="G36" s="84" t="inlineStr">
        <is>
          <t>ML Engineer</t>
        </is>
      </c>
      <c r="H36" s="87" t="inlineStr">
        <is>
          <t>Open</t>
        </is>
      </c>
      <c r="I36" s="84" t="inlineStr">
        <is>
          <t>No</t>
        </is>
      </c>
      <c r="J36" s="84" t="inlineStr">
        <is>
          <t>If recency weighting is applied at query time (SIM-076) but sigma was calibrated without it, the effective score distribution will shift and the target median of 0.50 won't hold. Calibration must sample the same population the simulation queries.</t>
        </is>
      </c>
      <c r="K36"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36" s="84" t="inlineStr">
        <is>
          <t>SIM-076 (recency weights must be defined first)</t>
        </is>
      </c>
      <c r="M36" s="84" t="inlineStr">
        <is>
          <t>Ensures calibrated sigmas match the actual distribution the simulation samples.</t>
        </is>
      </c>
    </row>
    <row r="37" ht="79.5" customHeight="1" s="47">
      <c r="A37" s="84" t="inlineStr">
        <is>
          <t>SIM-080</t>
        </is>
      </c>
      <c r="B37" s="84" t="inlineStr">
        <is>
          <t>Add ordering guard to pitcher engine build() — document GMM/shrinkage dependency</t>
        </is>
      </c>
      <c r="C37" s="84" t="inlineStr">
        <is>
          <t>Similarity Engines</t>
        </is>
      </c>
      <c r="D37" s="84" t="inlineStr">
        <is>
          <t>Improvement</t>
        </is>
      </c>
      <c r="E37" s="88" t="inlineStr">
        <is>
          <t>P2</t>
        </is>
      </c>
      <c r="F37" s="84" t="inlineStr">
        <is>
          <t>S (&lt; 1 day)</t>
        </is>
      </c>
      <c r="G37" s="84" t="inlineStr">
        <is>
          <t>ML Engineer</t>
        </is>
      </c>
      <c r="H37" s="87" t="inlineStr">
        <is>
          <t>Open</t>
        </is>
      </c>
      <c r="I37" s="84" t="inlineStr">
        <is>
          <t>No</t>
        </is>
      </c>
      <c r="J37"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37"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37" s="84" t="inlineStr">
        <is>
          <t>None</t>
        </is>
      </c>
      <c r="M37" s="84" t="inlineStr">
        <is>
          <t>Latent bug guard — prevents future developers from introducing an ordering regression.</t>
        </is>
      </c>
    </row>
    <row r="38" ht="23.25" customHeight="1" s="47">
      <c r="A38" s="84" t="inlineStr">
        <is>
          <t>SIM-082</t>
        </is>
      </c>
      <c r="B38" s="84" t="inlineStr">
        <is>
          <t>Fix ON CONFLICT Crash in _upsert_lineup_state()</t>
        </is>
      </c>
      <c r="C38" s="84" t="inlineStr">
        <is>
          <t>Live Pipeline</t>
        </is>
      </c>
      <c r="D38" s="84" t="inlineStr">
        <is>
          <t>Bug</t>
        </is>
      </c>
      <c r="E38" s="85" t="inlineStr">
        <is>
          <t>P1</t>
        </is>
      </c>
      <c r="F38" s="84" t="inlineStr">
        <is>
          <t>S</t>
        </is>
      </c>
      <c r="G38" s="84" t="inlineStr">
        <is>
          <t>Data Engineer</t>
        </is>
      </c>
      <c r="H38" s="89" t="inlineStr">
        <is>
          <t>Closed</t>
        </is>
      </c>
      <c r="I38" s="84" t="inlineStr">
        <is>
          <t>No</t>
        </is>
      </c>
      <c r="J38" s="84" t="inlineStr">
        <is>
          <t>Missing unique partial index made every live lineup upsert raise.</t>
        </is>
      </c>
      <c r="K38" s="84" t="inlineStr">
        <is>
          <t>Alembic migration 0002 adds idx_lineup_state_live_game.</t>
        </is>
      </c>
      <c r="L38" s="84" t="inlineStr">
        <is>
          <t>SIM-084</t>
        </is>
      </c>
      <c r="M38" s="84" t="inlineStr">
        <is>
          <t>Shipped sprint 2026-05-05.</t>
        </is>
      </c>
    </row>
    <row r="39" ht="23.25" customHeight="1" s="47">
      <c r="A39" s="84" t="inlineStr">
        <is>
          <t>SIM-083</t>
        </is>
      </c>
      <c r="B39" s="84" t="inlineStr">
        <is>
          <t>Move ETL Freshness DDL into Canonical Schema</t>
        </is>
      </c>
      <c r="C39" s="84" t="inlineStr">
        <is>
          <t>Schema / ETL</t>
        </is>
      </c>
      <c r="D39" s="84" t="inlineStr">
        <is>
          <t>Bug</t>
        </is>
      </c>
      <c r="E39" s="85" t="inlineStr">
        <is>
          <t>P1</t>
        </is>
      </c>
      <c r="F39" s="84" t="inlineStr">
        <is>
          <t>S</t>
        </is>
      </c>
      <c r="G39" s="84" t="inlineStr">
        <is>
          <t>Data Engineer</t>
        </is>
      </c>
      <c r="H39" s="89" t="inlineStr">
        <is>
          <t>Closed</t>
        </is>
      </c>
      <c r="I39" s="84" t="inlineStr">
        <is>
          <t>No</t>
        </is>
      </c>
      <c r="J39" s="84" t="inlineStr">
        <is>
          <t>FRESHNESS_TABLE_DDL was a dead string constant; table never existed.</t>
        </is>
      </c>
      <c r="K39" s="84" t="inlineStr">
        <is>
          <t>Migration 0003 creates raw.etl_data_freshness, game_odds, prop_odds, pipeline_run_log.</t>
        </is>
      </c>
      <c r="L39" s="84" t="inlineStr">
        <is>
          <t>SIM-084</t>
        </is>
      </c>
      <c r="M39" s="84" t="inlineStr">
        <is>
          <t>Shipped sprint 2026-05-05.</t>
        </is>
      </c>
    </row>
    <row r="40" ht="23.25" customHeight="1" s="47">
      <c r="A40" s="84" t="inlineStr">
        <is>
          <t>SIM-084</t>
        </is>
      </c>
      <c r="B40" s="84" t="inlineStr">
        <is>
          <t>Initialize Alembic Migration Framework</t>
        </is>
      </c>
      <c r="C40" s="84" t="inlineStr">
        <is>
          <t>Infrastructure</t>
        </is>
      </c>
      <c r="D40" s="84" t="inlineStr">
        <is>
          <t>Gap</t>
        </is>
      </c>
      <c r="E40" s="85" t="inlineStr">
        <is>
          <t>P1</t>
        </is>
      </c>
      <c r="F40" s="84" t="inlineStr">
        <is>
          <t>M</t>
        </is>
      </c>
      <c r="G40" s="84" t="inlineStr">
        <is>
          <t>Data Engineer</t>
        </is>
      </c>
      <c r="H40" s="89" t="inlineStr">
        <is>
          <t>Closed</t>
        </is>
      </c>
      <c r="I40" s="84" t="inlineStr">
        <is>
          <t>No</t>
        </is>
      </c>
      <c r="J40" s="84" t="inlineStr">
        <is>
          <t>No Alembic migrations existed; ~15 schema-change tickets had no path.</t>
        </is>
      </c>
      <c r="K40" s="84" t="inlineStr">
        <is>
          <t>alembic.ini, env.py, 0001 baseline migration, mandatory migration workflow.</t>
        </is>
      </c>
      <c r="L40" s="84" t="inlineStr">
        <is>
          <t>None</t>
        </is>
      </c>
      <c r="M40" s="84" t="inlineStr">
        <is>
          <t>Shipped sprint 2026-05-05. Foundation ticket.</t>
        </is>
      </c>
    </row>
    <row r="41" ht="23.25" customHeight="1" s="47">
      <c r="A41" s="84" t="inlineStr">
        <is>
          <t>SIM-085</t>
        </is>
      </c>
      <c r="B41" s="84" t="inlineStr">
        <is>
          <t>Composite situation index on raw.pitches</t>
        </is>
      </c>
      <c r="C41" s="84" t="inlineStr">
        <is>
          <t>Schema / ETL</t>
        </is>
      </c>
      <c r="D41" s="84" t="inlineStr">
        <is>
          <t>Bug</t>
        </is>
      </c>
      <c r="E41" s="85" t="inlineStr">
        <is>
          <t>P1</t>
        </is>
      </c>
      <c r="F41" s="84" t="inlineStr">
        <is>
          <t>S</t>
        </is>
      </c>
      <c r="G41" s="84" t="inlineStr">
        <is>
          <t>Data Engineer</t>
        </is>
      </c>
      <c r="H41" s="89" t="inlineStr">
        <is>
          <t>Closed</t>
        </is>
      </c>
      <c r="I41" s="84" t="inlineStr">
        <is>
          <t>No</t>
        </is>
      </c>
      <c r="J41" s="84" t="inlineStr">
        <is>
          <t>Step 1.1 required composite (inning,outs,balls,strikes,on_1b,on_2b,on_3b) index.</t>
        </is>
      </c>
      <c r="K41" s="84" t="inlineStr">
        <is>
          <t>Migration 0005; partial index WHERE clean.</t>
        </is>
      </c>
      <c r="L41" s="84" t="inlineStr">
        <is>
          <t>SIM-084</t>
        </is>
      </c>
      <c r="M41" s="84" t="inlineStr">
        <is>
          <t>Shipped sprint 2026-05-06. PM-accepted 2026-05-07.</t>
        </is>
      </c>
    </row>
    <row r="42" ht="23.25" customHeight="1" s="47">
      <c r="A42" s="84" t="inlineStr">
        <is>
          <t>SIM-086</t>
        </is>
      </c>
      <c r="B42" s="84" t="inlineStr">
        <is>
          <t>Fix live pipeline venue_id=0 FK violation</t>
        </is>
      </c>
      <c r="C42" s="84" t="inlineStr">
        <is>
          <t>Live Pipeline</t>
        </is>
      </c>
      <c r="D42" s="84" t="inlineStr">
        <is>
          <t>Bug</t>
        </is>
      </c>
      <c r="E42" s="85" t="inlineStr">
        <is>
          <t>P1</t>
        </is>
      </c>
      <c r="F42" s="84" t="inlineStr">
        <is>
          <t>S</t>
        </is>
      </c>
      <c r="G42" s="84" t="inlineStr">
        <is>
          <t>Data Engineer</t>
        </is>
      </c>
      <c r="H42" s="89" t="inlineStr">
        <is>
          <t>Closed</t>
        </is>
      </c>
      <c r="I42" s="84" t="inlineStr">
        <is>
          <t>No</t>
        </is>
      </c>
      <c r="J42" s="84" t="inlineStr">
        <is>
          <t>_upsert_game_record inserted 0 sentinel; FK violation silently dropped game.</t>
        </is>
      </c>
      <c r="K42" s="84" t="inlineStr">
        <is>
          <t>Migration 0006 makes venue_id nullable; venue_backfill_job.py.</t>
        </is>
      </c>
      <c r="L42" s="84" t="inlineStr">
        <is>
          <t>SIM-084</t>
        </is>
      </c>
      <c r="M42" s="84" t="inlineStr">
        <is>
          <t>Shipped sprint 2026-05-06. PM-accepted 2026-05-07.</t>
        </is>
      </c>
    </row>
    <row r="43" ht="23.25" customHeight="1" s="47">
      <c r="A43" s="84" t="inlineStr">
        <is>
          <t>SIM-087</t>
        </is>
      </c>
      <c r="B43" s="84" t="inlineStr">
        <is>
          <t>Lower ETL release_speed warning threshold</t>
        </is>
      </c>
      <c r="C43" s="84" t="inlineStr">
        <is>
          <t>Schema / ETL</t>
        </is>
      </c>
      <c r="D43" s="84" t="inlineStr">
        <is>
          <t>Bug</t>
        </is>
      </c>
      <c r="E43" s="85" t="inlineStr">
        <is>
          <t>P1</t>
        </is>
      </c>
      <c r="F43" s="84" t="inlineStr">
        <is>
          <t>S</t>
        </is>
      </c>
      <c r="G43" s="84" t="inlineStr">
        <is>
          <t>Data Engineer</t>
        </is>
      </c>
      <c r="H43" s="89" t="inlineStr">
        <is>
          <t>Closed</t>
        </is>
      </c>
      <c r="I43" s="84" t="inlineStr">
        <is>
          <t>No</t>
        </is>
      </c>
      <c r="J43" s="84" t="inlineStr">
        <is>
          <t>70 mph threshold flagged legitimate slow curveballs as bad data.</t>
        </is>
      </c>
      <c r="K43" s="84" t="inlineStr">
        <is>
          <t>Validator 70-&gt;60 mph; trigger 60-&gt;50 mph via migration 0007.</t>
        </is>
      </c>
      <c r="L43" s="84" t="inlineStr">
        <is>
          <t>SIM-084</t>
        </is>
      </c>
      <c r="M43" s="84" t="inlineStr">
        <is>
          <t>Shipped sprint 2026-05-06. PM-accepted 2026-05-07.</t>
        </is>
      </c>
    </row>
    <row r="44" ht="23.25" customHeight="1" s="47">
      <c r="A44" s="84" t="inlineStr">
        <is>
          <t>SIM-088</t>
        </is>
      </c>
      <c r="B44" s="84" t="inlineStr">
        <is>
          <t>Drop idx_pitches_pitch_type — wasted write overhead</t>
        </is>
      </c>
      <c r="C44" s="84" t="inlineStr">
        <is>
          <t>Schema / ETL</t>
        </is>
      </c>
      <c r="D44" s="84" t="inlineStr">
        <is>
          <t>Improvement</t>
        </is>
      </c>
      <c r="E44" s="85" t="inlineStr">
        <is>
          <t>P1</t>
        </is>
      </c>
      <c r="F44" s="84" t="inlineStr">
        <is>
          <t>S</t>
        </is>
      </c>
      <c r="G44" s="84" t="inlineStr">
        <is>
          <t>Data Engineer</t>
        </is>
      </c>
      <c r="H44" s="89" t="inlineStr">
        <is>
          <t>Closed</t>
        </is>
      </c>
      <c r="I44" s="84" t="inlineStr">
        <is>
          <t>No</t>
        </is>
      </c>
      <c r="J44" s="84" t="inlineStr">
        <is>
          <t>Schema comment said pitch_type is reference-only but standalone index added 15MB/season.</t>
        </is>
      </c>
      <c r="K44" s="84" t="inlineStr">
        <is>
          <t>Migration 0008 DROP INDEX; canonical schema updated; CONCURRENTLY rebuild documented.</t>
        </is>
      </c>
      <c r="L44" s="84" t="inlineStr">
        <is>
          <t>SIM-084</t>
        </is>
      </c>
      <c r="M44" s="84" t="inlineStr">
        <is>
          <t>Shipped sprint 2026-05-06. PM-accepted 2026-05-07.</t>
        </is>
      </c>
    </row>
    <row r="45" ht="23.25" customHeight="1" s="47">
      <c r="A45" s="84" t="inlineStr">
        <is>
          <t>SIM-089</t>
        </is>
      </c>
      <c r="B45" s="84" t="inlineStr">
        <is>
          <t>Composite (pitcher, season) partial index</t>
        </is>
      </c>
      <c r="C45" s="84" t="inlineStr">
        <is>
          <t>Schema / ETL</t>
        </is>
      </c>
      <c r="D45" s="84" t="inlineStr">
        <is>
          <t>Improvement</t>
        </is>
      </c>
      <c r="E45" s="85" t="inlineStr">
        <is>
          <t>P1</t>
        </is>
      </c>
      <c r="F45" s="84" t="inlineStr">
        <is>
          <t>S</t>
        </is>
      </c>
      <c r="G45" s="84" t="inlineStr">
        <is>
          <t>Data Engineer</t>
        </is>
      </c>
      <c r="H45" s="89" t="inlineStr">
        <is>
          <t>Closed</t>
        </is>
      </c>
      <c r="I45" s="84" t="inlineStr">
        <is>
          <t>No</t>
        </is>
      </c>
      <c r="J45" s="84" t="inlineStr">
        <is>
          <t>Profile-computor hot path scanned all rows for a pitcher across seasons.</t>
        </is>
      </c>
      <c r="K45" s="84" t="inlineStr">
        <is>
          <t>Migration 0009 partial composite index WHERE clean.</t>
        </is>
      </c>
      <c r="L45" s="84" t="inlineStr">
        <is>
          <t>SIM-084</t>
        </is>
      </c>
      <c r="M45" s="84" t="inlineStr">
        <is>
          <t>Shipped sprint 2026-05-06. PM-accepted 2026-05-07.</t>
        </is>
      </c>
    </row>
    <row r="46" ht="147" customHeight="1" s="47">
      <c r="A46" s="84" t="inlineStr">
        <is>
          <t>SIM-090</t>
        </is>
      </c>
      <c r="B46" s="84" t="inlineStr">
        <is>
          <t>Replace per-game psycopg2 connect/close with connection pool in ETL</t>
        </is>
      </c>
      <c r="C46" s="84" t="inlineStr">
        <is>
          <t>Schema / ETL</t>
        </is>
      </c>
      <c r="D46" s="84" t="inlineStr">
        <is>
          <t>Improvement</t>
        </is>
      </c>
      <c r="E46" s="85" t="inlineStr">
        <is>
          <t>P1</t>
        </is>
      </c>
      <c r="F46" s="84" t="inlineStr">
        <is>
          <t>M (3–5 days)</t>
        </is>
      </c>
      <c r="G46" s="84" t="inlineStr">
        <is>
          <t>Data Engineer</t>
        </is>
      </c>
      <c r="H46" s="87" t="inlineStr">
        <is>
          <t>Closed</t>
        </is>
      </c>
      <c r="I46" s="84" t="inlineStr">
        <is>
          <t>No</t>
        </is>
      </c>
      <c r="J4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4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46" s="84" t="inlineStr">
        <is>
          <t>None</t>
        </is>
      </c>
      <c r="M46" s="84" t="inlineStr">
        <is>
          <t>Deferred from current sprint — useful but not blocking Phase 2 completion.</t>
        </is>
      </c>
    </row>
    <row r="47" ht="23.25" customHeight="1" s="47">
      <c r="A47" s="84" t="inlineStr">
        <is>
          <t>SIM-091</t>
        </is>
      </c>
      <c r="B47" s="84" t="inlineStr">
        <is>
          <t>Add detail tables to _delete_seasons()</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Per-play detail tables missing from full-rebuild deletion list.</t>
        </is>
      </c>
      <c r="K47" s="84" t="inlineStr">
        <is>
          <t>Tables enumerated; regression test parses schema for completeness.</t>
        </is>
      </c>
      <c r="L47" s="84" t="inlineStr">
        <is>
          <t>None</t>
        </is>
      </c>
      <c r="M47" s="84" t="inlineStr">
        <is>
          <t>Shipped sprint 2026-05-06. PM-accepted 2026-05-07.</t>
        </is>
      </c>
    </row>
    <row r="48" ht="34.5" customHeight="1" s="47">
      <c r="A48" s="84" t="inlineStr">
        <is>
          <t>SIM-092</t>
        </is>
      </c>
      <c r="B48" s="84" t="inlineStr">
        <is>
          <t>Deduplicate raw.game_odds inserts</t>
        </is>
      </c>
      <c r="C48" s="84" t="inlineStr">
        <is>
          <t>Schema / ETL</t>
        </is>
      </c>
      <c r="D48" s="84" t="inlineStr">
        <is>
          <t>Improvement</t>
        </is>
      </c>
      <c r="E48" s="85" t="inlineStr">
        <is>
          <t>P1</t>
        </is>
      </c>
      <c r="F48" s="84" t="inlineStr">
        <is>
          <t>S</t>
        </is>
      </c>
      <c r="G48" s="84" t="inlineStr">
        <is>
          <t>Data Engineer</t>
        </is>
      </c>
      <c r="H48" s="89" t="inlineStr">
        <is>
          <t>Closed</t>
        </is>
      </c>
      <c r="I48" s="84" t="inlineStr">
        <is>
          <t>No</t>
        </is>
      </c>
      <c r="J48" s="84" t="inlineStr">
        <is>
          <t>_persist_odds had no ON CONFLICT; ~360 dup rows per 3-hour game.</t>
        </is>
      </c>
      <c r="K48" s="84" t="inlineStr">
        <is>
          <t>odds_hash SHA-256 column + partial unique index + ON CONFLICT DO NOTHING.</t>
        </is>
      </c>
      <c r="L48" s="84" t="inlineStr">
        <is>
          <t>SIM-084</t>
        </is>
      </c>
      <c r="M48" s="84" t="inlineStr">
        <is>
          <t>Shipped sprint 2026-05-07. PM-accepted 2026-05-07. SIM-094 carries forward backfill.</t>
        </is>
      </c>
    </row>
    <row r="49" ht="23.25" customHeight="1" s="47">
      <c r="A49" s="84" t="inlineStr">
        <is>
          <t>SIM-093</t>
        </is>
      </c>
      <c r="B49" s="84" t="inlineStr">
        <is>
          <t>Create raw.etl_errors + wire into ETL</t>
        </is>
      </c>
      <c r="C49" s="84" t="inlineStr">
        <is>
          <t>Schema / ETL</t>
        </is>
      </c>
      <c r="D49" s="84" t="inlineStr">
        <is>
          <t>Gap</t>
        </is>
      </c>
      <c r="E49" s="85" t="inlineStr">
        <is>
          <t>P1</t>
        </is>
      </c>
      <c r="F49" s="84" t="inlineStr">
        <is>
          <t>S</t>
        </is>
      </c>
      <c r="G49" s="84" t="inlineStr">
        <is>
          <t>Data Engineer</t>
        </is>
      </c>
      <c r="H49" s="89" t="inlineStr">
        <is>
          <t>Closed</t>
        </is>
      </c>
      <c r="I49" s="84" t="inlineStr">
        <is>
          <t>No</t>
        </is>
      </c>
      <c r="J49" s="84" t="inlineStr">
        <is>
          <t>Hard validation errors only logged; no audit trail or reprocessing path.</t>
        </is>
      </c>
      <c r="K49" s="84" t="inlineStr">
        <is>
          <t>Migration 0011 creates raw.etl_errors; _log_etl_errors + reprocess_errored_games.</t>
        </is>
      </c>
      <c r="L49" s="84" t="inlineStr">
        <is>
          <t>SIM-084</t>
        </is>
      </c>
      <c r="M49" s="84" t="inlineStr">
        <is>
          <t>Shipped sprint 2026-05-07. PM-accepted 2026-05-07.</t>
        </is>
      </c>
    </row>
    <row r="50" ht="135.75" customHeight="1" s="47">
      <c r="A50" s="84" t="inlineStr">
        <is>
          <t>SIM-094</t>
        </is>
      </c>
      <c r="B50" s="84" t="inlineStr">
        <is>
          <t>Add directional HR distance columns to derived.park_factors</t>
        </is>
      </c>
      <c r="C50" s="84" t="inlineStr">
        <is>
          <t>Schema / ETL</t>
        </is>
      </c>
      <c r="D50" s="84" t="inlineStr">
        <is>
          <t>Feature</t>
        </is>
      </c>
      <c r="E50" s="85" t="inlineStr">
        <is>
          <t>P1</t>
        </is>
      </c>
      <c r="F50" s="84" t="inlineStr">
        <is>
          <t>M (3–5 days)</t>
        </is>
      </c>
      <c r="G50" s="84" t="inlineStr">
        <is>
          <t>Data Engineer + Baseball Analyst</t>
        </is>
      </c>
      <c r="H50" s="87" t="inlineStr">
        <is>
          <t>Open</t>
        </is>
      </c>
      <c r="I50" s="84" t="inlineStr">
        <is>
          <t>No</t>
        </is>
      </c>
      <c r="J50" s="84" t="inlineStr">
        <is>
          <t>The directional HR model (SIM-055) requires minimum fence distances by spray angle bucket per venue. Current park_factors has no directional columns. BA must confirm spray-angle bucket boundaries before implementation begins.</t>
        </is>
      </c>
      <c r="K50"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50" s="84" t="inlineStr">
        <is>
          <t>SIM-063 (park_factors PRIMARY KEY change), SIM-084, Baseball Analyst sign-off</t>
        </is>
      </c>
      <c r="M50" s="84" t="inlineStr">
        <is>
          <t>Blocks SIM-055 (directional HR model in simulation loop).</t>
        </is>
      </c>
    </row>
    <row r="51" ht="135.75" customHeight="1" s="47">
      <c r="A51" s="84" t="inlineStr">
        <is>
          <t>SIM-095</t>
        </is>
      </c>
      <c r="B51" s="84" t="inlineStr">
        <is>
          <t>Implement incremental pitch_pool and outcome_pool rebuild — replace nightly full delete+reinsert</t>
        </is>
      </c>
      <c r="C51" s="84" t="inlineStr">
        <is>
          <t>Schema / ETL</t>
        </is>
      </c>
      <c r="D51" s="84" t="inlineStr">
        <is>
          <t>Improvement</t>
        </is>
      </c>
      <c r="E51" s="88" t="inlineStr">
        <is>
          <t>P2</t>
        </is>
      </c>
      <c r="F51" s="84" t="inlineStr">
        <is>
          <t>M (3–5 days)</t>
        </is>
      </c>
      <c r="G51" s="84" t="inlineStr">
        <is>
          <t>Data Engineer</t>
        </is>
      </c>
      <c r="H51" s="87" t="inlineStr">
        <is>
          <t>Closed</t>
        </is>
      </c>
      <c r="I51" s="84" t="inlineStr">
        <is>
          <t>No</t>
        </is>
      </c>
      <c r="J51" s="84" t="inlineStr">
        <is>
          <t>Nightly full pool rebuild deletes and re-inserts ~700K rows (current season). For a 4-season data set this is 2.8M+ rows, taking ~10 minutes nightly. The incremental path only inserts new rows where game_date &gt; last_built, reducing nightly cost to ~30 seconds.</t>
        </is>
      </c>
      <c r="K51"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51" s="84" t="inlineStr">
        <is>
          <t>SIM-076 (pool_build_metadata table shared for recency weight tracking)</t>
        </is>
      </c>
      <c r="M51" s="84" t="inlineStr">
        <is>
          <t>Operational necessity once historical data grows — without this, nightly batch becomes untenable.</t>
        </is>
      </c>
    </row>
    <row r="52" ht="113.25" customHeight="1" s="47">
      <c r="A52" s="84" t="inlineStr">
        <is>
          <t>SIM-096</t>
        </is>
      </c>
      <c r="B52" s="84" t="inlineStr">
        <is>
          <t>Create SQLAlchemy async models for API-facing tables — db/models/ is empty</t>
        </is>
      </c>
      <c r="C52" s="84" t="inlineStr">
        <is>
          <t>Backend API</t>
        </is>
      </c>
      <c r="D52" s="84" t="inlineStr">
        <is>
          <t>Gap</t>
        </is>
      </c>
      <c r="E52" s="85" t="inlineStr">
        <is>
          <t>P1</t>
        </is>
      </c>
      <c r="F52" s="84" t="inlineStr">
        <is>
          <t>M (3–5 days)</t>
        </is>
      </c>
      <c r="G52" s="84" t="inlineStr">
        <is>
          <t>Data Engineer + Backend Developer</t>
        </is>
      </c>
      <c r="H52" s="87" t="inlineStr">
        <is>
          <t>Open</t>
        </is>
      </c>
      <c r="I52" s="84" t="inlineStr">
        <is>
          <t>No</t>
        </is>
      </c>
      <c r="J52" s="84" t="inlineStr">
        <is>
          <t>db/models/ is empty. The Phase 5 API needs SQLAlchemy async models for the tables its endpoints query. ETL and profile computor continue using psycopg2/asyncpg/DuckDB directly — models are only needed for the API layer.</t>
        </is>
      </c>
      <c r="K52"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52" s="84" t="inlineStr">
        <is>
          <t>SIM-084 (Alembic — models must match migrated schema), SIM-133, SIM-134</t>
        </is>
      </c>
      <c r="M52" s="84" t="inlineStr">
        <is>
          <t>Only needed for API layer. ETL scripts intentionally bypass ORM for performance.</t>
        </is>
      </c>
    </row>
    <row r="53" ht="113.25" customHeight="1" s="47">
      <c r="A53" s="84" t="inlineStr">
        <is>
          <t>SIM-097</t>
        </is>
      </c>
      <c r="B53" s="84" t="inlineStr">
        <is>
          <t>Fix manager concurrent replacement race condition — add SELECT FOR UPDATE row lock</t>
        </is>
      </c>
      <c r="C53" s="84" t="inlineStr">
        <is>
          <t>Schema / ETL</t>
        </is>
      </c>
      <c r="D53" s="84" t="inlineStr">
        <is>
          <t>Bug</t>
        </is>
      </c>
      <c r="E53" s="88" t="inlineStr">
        <is>
          <t>P2</t>
        </is>
      </c>
      <c r="F53" s="84" t="inlineStr">
        <is>
          <t>S (&lt; 1 day)</t>
        </is>
      </c>
      <c r="G53" s="84" t="inlineStr">
        <is>
          <t>Data Engineer</t>
        </is>
      </c>
      <c r="H53" s="87" t="inlineStr">
        <is>
          <t>Open</t>
        </is>
      </c>
      <c r="I53" s="84" t="inlineStr">
        <is>
          <t>No</t>
        </is>
      </c>
      <c r="J53"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53"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53" s="84" t="inlineStr">
        <is>
          <t>None</t>
        </is>
      </c>
      <c r="M53" s="84" t="inlineStr">
        <is>
          <t>Low urgency until parallel backfill is implemented. Deferred to Phase 5 async migration.</t>
        </is>
      </c>
    </row>
    <row r="54" ht="168.75" customHeight="1" s="47">
      <c r="A54" s="84" t="inlineStr">
        <is>
          <t>SIM-098</t>
        </is>
      </c>
      <c r="B54" s="84" t="inlineStr">
        <is>
          <t>Implement pipeline observability baseline: raw.pipeline_run_log, freshness staleness alert, Prometheus counters</t>
        </is>
      </c>
      <c r="C54" s="84" t="inlineStr">
        <is>
          <t>Infrastructure</t>
        </is>
      </c>
      <c r="D54" s="84" t="inlineStr">
        <is>
          <t>Gap</t>
        </is>
      </c>
      <c r="E54" s="85" t="inlineStr">
        <is>
          <t>P1</t>
        </is>
      </c>
      <c r="F54" s="84" t="inlineStr">
        <is>
          <t>M (3–5 days)</t>
        </is>
      </c>
      <c r="G54" s="84" t="inlineStr">
        <is>
          <t>Data Engineer</t>
        </is>
      </c>
      <c r="H54" s="87" t="inlineStr">
        <is>
          <t>Open</t>
        </is>
      </c>
      <c r="I54" s="84" t="inlineStr">
        <is>
          <t>No</t>
        </is>
      </c>
      <c r="J54" s="84" t="inlineStr">
        <is>
          <t>No monitoring infrastructure exists for the data pipeline. A nightly profile computor failure would not alert anyone. For a production betting platform with time-sensitive data freshness requirements, silent failures are unacceptable.</t>
        </is>
      </c>
      <c r="K54"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54" s="84" t="inlineStr">
        <is>
          <t>SIM-084 (Alembic)</t>
        </is>
      </c>
      <c r="M54" s="84" t="inlineStr">
        <is>
          <t>Instrumentation hooks must exist in Phase 5 — retrofitting monitoring after Phase 7 deploy is too late.</t>
        </is>
      </c>
    </row>
    <row r="55" ht="23.25" customHeight="1" s="47">
      <c r="A55" s="84" t="inlineStr">
        <is>
          <t>SIM-099</t>
        </is>
      </c>
      <c r="B55" s="84" t="inlineStr">
        <is>
          <t>Fix Redis Key Mismatch (rate-limit fallback)</t>
        </is>
      </c>
      <c r="C55" s="84" t="inlineStr">
        <is>
          <t>Live Pipeline</t>
        </is>
      </c>
      <c r="D55" s="84" t="inlineStr">
        <is>
          <t>Bug</t>
        </is>
      </c>
      <c r="E55" s="85" t="inlineStr">
        <is>
          <t>P1</t>
        </is>
      </c>
      <c r="F55" s="84" t="inlineStr">
        <is>
          <t>S</t>
        </is>
      </c>
      <c r="G55" s="84" t="inlineStr">
        <is>
          <t>Backend Developer</t>
        </is>
      </c>
      <c r="H55" s="89" t="inlineStr">
        <is>
          <t>Closed</t>
        </is>
      </c>
      <c r="I55" s="84" t="inlineStr">
        <is>
          <t>No</t>
        </is>
      </c>
      <c r="J55" s="84" t="inlineStr">
        <is>
          <t>_cache_to_redis wrote game_state:{pk} but _fetch_feed read game_feed:{pk}.</t>
        </is>
      </c>
      <c r="K55" s="84" t="inlineStr">
        <is>
          <t>Both keys now written; second pitcher_id assignment removed.</t>
        </is>
      </c>
      <c r="L55" s="84" t="inlineStr">
        <is>
          <t>None</t>
        </is>
      </c>
      <c r="M55" s="84" t="inlineStr">
        <is>
          <t>Shipped sprint 2026-05-05.</t>
        </is>
      </c>
    </row>
    <row r="56" ht="23.25" customHeight="1" s="47">
      <c r="A56" s="84" t="inlineStr">
        <is>
          <t>SIM-100</t>
        </is>
      </c>
      <c r="B56" s="84" t="inlineStr">
        <is>
          <t>Fix GameStateBuilder roster parsing (4 bugs)</t>
        </is>
      </c>
      <c r="C56" s="84" t="inlineStr">
        <is>
          <t>Live Pipeline</t>
        </is>
      </c>
      <c r="D56" s="84" t="inlineStr">
        <is>
          <t>Bug</t>
        </is>
      </c>
      <c r="E56" s="85" t="inlineStr">
        <is>
          <t>P1</t>
        </is>
      </c>
      <c r="F56" s="84" t="inlineStr">
        <is>
          <t>S</t>
        </is>
      </c>
      <c r="G56" s="84" t="inlineStr">
        <is>
          <t>Backend Developer</t>
        </is>
      </c>
      <c r="H56" s="89" t="inlineStr">
        <is>
          <t>Closed</t>
        </is>
      </c>
      <c r="I56" s="84" t="inlineStr">
        <is>
          <t>No</t>
        </is>
      </c>
      <c r="J56" s="84" t="inlineStr">
        <is>
          <t>N+1 days_rest queries; wrong availability; dead code; wrong date anchor.</t>
        </is>
      </c>
      <c r="K56" s="84" t="inlineStr">
        <is>
          <t>_batch_days_rest single query; corrected availability; game_date param.</t>
        </is>
      </c>
      <c r="L56" s="84" t="inlineStr">
        <is>
          <t>None</t>
        </is>
      </c>
      <c r="M56" s="84" t="inlineStr">
        <is>
          <t>Shipped sprint 2026-05-05.</t>
        </is>
      </c>
    </row>
    <row r="57" ht="23.25" customHeight="1" s="47">
      <c r="A57" s="84" t="inlineStr">
        <is>
          <t>SIM-101</t>
        </is>
      </c>
      <c r="B57" s="84" t="inlineStr">
        <is>
          <t>Per-game GameStateBuilder cache + incremental play history</t>
        </is>
      </c>
      <c r="C57" s="84" t="inlineStr">
        <is>
          <t>Live Pipeline</t>
        </is>
      </c>
      <c r="D57" s="84" t="inlineStr">
        <is>
          <t>Bug</t>
        </is>
      </c>
      <c r="E57" s="85" t="inlineStr">
        <is>
          <t>P1</t>
        </is>
      </c>
      <c r="F57" s="84" t="inlineStr">
        <is>
          <t>M</t>
        </is>
      </c>
      <c r="G57" s="84" t="inlineStr">
        <is>
          <t>Backend Developer</t>
        </is>
      </c>
      <c r="H57" s="89" t="inlineStr">
        <is>
          <t>Closed</t>
        </is>
      </c>
      <c r="I57" s="84" t="inlineStr">
        <is>
          <t>No</t>
        </is>
      </c>
      <c r="J57" s="84" t="inlineStr">
        <is>
          <t>_parse_play_history rebuilt full history every WS message (O(N)).</t>
        </is>
      </c>
      <c r="K57" s="84" t="inlineStr">
        <is>
          <t>Per-game builder cache; incremental parse from last_at_bat_index.</t>
        </is>
      </c>
      <c r="L57" s="84" t="inlineStr">
        <is>
          <t>SIM-099, SIM-100</t>
        </is>
      </c>
      <c r="M57" s="84" t="inlineStr">
        <is>
          <t>Shipped sprint 2026-05-07. PM-accepted 2026-05-07.</t>
        </is>
      </c>
    </row>
    <row r="58" ht="23.25" customHeight="1" s="47">
      <c r="A58" s="84" t="inlineStr">
        <is>
          <t>SIM-102</t>
        </is>
      </c>
      <c r="B58" s="84" t="inlineStr">
        <is>
          <t>Fix _infer_role() opener misclassification</t>
        </is>
      </c>
      <c r="C58" s="84" t="inlineStr">
        <is>
          <t>Live Pipeline</t>
        </is>
      </c>
      <c r="D58" s="84" t="inlineStr">
        <is>
          <t>Bug</t>
        </is>
      </c>
      <c r="E58" s="85" t="inlineStr">
        <is>
          <t>P1</t>
        </is>
      </c>
      <c r="F58" s="84" t="inlineStr">
        <is>
          <t>S</t>
        </is>
      </c>
      <c r="G58" s="84" t="inlineStr">
        <is>
          <t>Backend Developer</t>
        </is>
      </c>
      <c r="H58" s="89" t="inlineStr">
        <is>
          <t>Closed</t>
        </is>
      </c>
      <c r="I58" s="84" t="inlineStr">
        <is>
          <t>No</t>
        </is>
      </c>
      <c r="J58" s="84" t="inlineStr">
        <is>
          <t>IP-only thresholds classified openers as MRP.</t>
        </is>
      </c>
      <c r="K58" s="84" t="inlineStr">
        <is>
          <t>Added Opener bucket using battersFaced; SP -&gt; Opener -&gt; MRP -&gt; RP.</t>
        </is>
      </c>
      <c r="L58" s="84" t="inlineStr">
        <is>
          <t>None</t>
        </is>
      </c>
      <c r="M58" s="84" t="inlineStr">
        <is>
          <t>Shipped sprint 2026-05-07. PM-accepted 2026-05-07. Temporary until SIM-057.</t>
        </is>
      </c>
    </row>
    <row r="59" ht="23.25" customHeight="1" s="47">
      <c r="A59" s="84" t="inlineStr">
        <is>
          <t>SIM-103</t>
        </is>
      </c>
      <c r="B59" s="84" t="inlineStr">
        <is>
          <t>ConnectionManager.broadcast() set snapshot</t>
        </is>
      </c>
      <c r="C59" s="84" t="inlineStr">
        <is>
          <t>Live Pipeline</t>
        </is>
      </c>
      <c r="D59" s="84" t="inlineStr">
        <is>
          <t>Bug</t>
        </is>
      </c>
      <c r="E59" s="85" t="inlineStr">
        <is>
          <t>P1</t>
        </is>
      </c>
      <c r="F59" s="84" t="inlineStr">
        <is>
          <t>S</t>
        </is>
      </c>
      <c r="G59" s="84" t="inlineStr">
        <is>
          <t>Backend Developer</t>
        </is>
      </c>
      <c r="H59" s="89" t="inlineStr">
        <is>
          <t>Closed</t>
        </is>
      </c>
      <c r="I59" s="84" t="inlineStr">
        <is>
          <t>No</t>
        </is>
      </c>
      <c r="J59" s="84" t="inlineStr">
        <is>
          <t>Iteration over live set raised RuntimeError on concurrent connect/disconnect.</t>
        </is>
      </c>
      <c r="K59" s="84" t="inlineStr">
        <is>
          <t>Snapshot via set(live_subs) before iterating.</t>
        </is>
      </c>
      <c r="L59" s="84" t="inlineStr">
        <is>
          <t>None</t>
        </is>
      </c>
      <c r="M59" s="84" t="inlineStr">
        <is>
          <t>Shipped sprint 2026-05-07. PM-accepted 2026-05-07.</t>
        </is>
      </c>
    </row>
    <row r="60" ht="23.25" customHeight="1" s="47">
      <c r="A60" s="84" t="inlineStr">
        <is>
          <t>SIM-104</t>
        </is>
      </c>
      <c r="B60" s="84" t="inlineStr">
        <is>
          <t>Add Redis-based rate limiting to /resimulate</t>
        </is>
      </c>
      <c r="C60" s="84" t="inlineStr">
        <is>
          <t>Live Pipeline</t>
        </is>
      </c>
      <c r="D60" s="84" t="inlineStr">
        <is>
          <t>Improvement</t>
        </is>
      </c>
      <c r="E60" s="85" t="inlineStr">
        <is>
          <t>P1</t>
        </is>
      </c>
      <c r="F60" s="84" t="inlineStr">
        <is>
          <t>S</t>
        </is>
      </c>
      <c r="G60" s="84" t="inlineStr">
        <is>
          <t>Backend Developer</t>
        </is>
      </c>
      <c r="H60" s="89" t="inlineStr">
        <is>
          <t>Closed</t>
        </is>
      </c>
      <c r="I60" s="84" t="inlineStr">
        <is>
          <t>No</t>
        </is>
      </c>
      <c r="J60" s="84" t="inlineStr">
        <is>
          <t>No debouncing on manual resimulate endpoint.</t>
        </is>
      </c>
      <c r="K60" s="84" t="inlineStr">
        <is>
          <t>Per-game Redis cooldown; 429 with retry_after_seconds; SIM-109 envelope.</t>
        </is>
      </c>
      <c r="L60" s="84" t="inlineStr">
        <is>
          <t>Redis lifecycle</t>
        </is>
      </c>
      <c r="M60" s="84" t="inlineStr">
        <is>
          <t>Shipped sprint 2026-05-07. PM-accepted 2026-05-07.</t>
        </is>
      </c>
    </row>
    <row r="61" ht="23.25" customHeight="1" s="47">
      <c r="A61" s="84" t="inlineStr">
        <is>
          <t>SIM-105</t>
        </is>
      </c>
      <c r="B61" s="84" t="inlineStr">
        <is>
          <t>Skip redundant upserts for completed games</t>
        </is>
      </c>
      <c r="C61" s="84" t="inlineStr">
        <is>
          <t>Live Pipeline</t>
        </is>
      </c>
      <c r="D61" s="84" t="inlineStr">
        <is>
          <t>Improvement</t>
        </is>
      </c>
      <c r="E61" s="88" t="inlineStr">
        <is>
          <t>P2</t>
        </is>
      </c>
      <c r="F61" s="84" t="inlineStr">
        <is>
          <t>S</t>
        </is>
      </c>
      <c r="G61" s="84" t="inlineStr">
        <is>
          <t>Backend Developer</t>
        </is>
      </c>
      <c r="H61" s="89" t="inlineStr">
        <is>
          <t>Closed</t>
        </is>
      </c>
      <c r="I61" s="84" t="inlineStr">
        <is>
          <t>No</t>
        </is>
      </c>
      <c r="J61" s="84" t="inlineStr">
        <is>
          <t>_sync_live_games called _upsert for finished games on every poll.</t>
        </is>
      </c>
      <c r="K61" s="84" t="inlineStr">
        <is>
          <t>_completed_games skip set + boot-time hydration from raw.games.</t>
        </is>
      </c>
      <c r="L61" s="84" t="inlineStr">
        <is>
          <t>None</t>
        </is>
      </c>
      <c r="M61" s="84" t="inlineStr">
        <is>
          <t>Shipped sprint 2026-05-07. PM-accepted 2026-05-07.</t>
        </is>
      </c>
    </row>
    <row r="62" ht="23.25" customHeight="1" s="47">
      <c r="A62" s="84" t="inlineStr">
        <is>
          <t>SIM-106</t>
        </is>
      </c>
      <c r="B62" s="84" t="inlineStr">
        <is>
          <t>Enforce async callable type on simulation_callback</t>
        </is>
      </c>
      <c r="C62" s="84" t="inlineStr">
        <is>
          <t>Live Pipeline</t>
        </is>
      </c>
      <c r="D62" s="84" t="inlineStr">
        <is>
          <t>Improvement</t>
        </is>
      </c>
      <c r="E62" s="85" t="inlineStr">
        <is>
          <t>P1</t>
        </is>
      </c>
      <c r="F62" s="84" t="inlineStr">
        <is>
          <t>S</t>
        </is>
      </c>
      <c r="G62" s="84" t="inlineStr">
        <is>
          <t>Backend Developer</t>
        </is>
      </c>
      <c r="H62" s="89" t="inlineStr">
        <is>
          <t>Closed</t>
        </is>
      </c>
      <c r="I62" s="84" t="inlineStr">
        <is>
          <t>No</t>
        </is>
      </c>
      <c r="J62" s="84" t="inlineStr">
        <is>
          <t>Callable | None could be a sync fn; failure was hard to diagnose.</t>
        </is>
      </c>
      <c r="K62" s="84" t="inlineStr">
        <is>
          <t>SimulationCallback type alias + iscoroutinefunction guard at __init__.</t>
        </is>
      </c>
      <c r="L62" s="84" t="inlineStr">
        <is>
          <t>None</t>
        </is>
      </c>
      <c r="M62" s="84" t="inlineStr">
        <is>
          <t>Shipped sprint 2026-05-07. PM-accepted 2026-05-07.</t>
        </is>
      </c>
    </row>
    <row r="63" ht="191.25" customHeight="1" s="47">
      <c r="A63" s="84" t="inlineStr">
        <is>
          <t>SIM-107</t>
        </is>
      </c>
      <c r="B63" s="84" t="inlineStr">
        <is>
          <t>Create tests/unit/test_live_ingestion_pipeline.py — 7 BE bugs, 0% coverage</t>
        </is>
      </c>
      <c r="C63" s="84" t="inlineStr">
        <is>
          <t>Testing</t>
        </is>
      </c>
      <c r="D63" s="84" t="inlineStr">
        <is>
          <t>Bug</t>
        </is>
      </c>
      <c r="E63" s="85" t="inlineStr">
        <is>
          <t>P1</t>
        </is>
      </c>
      <c r="F63" s="84" t="inlineStr">
        <is>
          <t>M (3–5 days)</t>
        </is>
      </c>
      <c r="G63" s="84" t="inlineStr">
        <is>
          <t>Backend Developer + QA/DevOps</t>
        </is>
      </c>
      <c r="H63" s="87" t="inlineStr">
        <is>
          <t>Open</t>
        </is>
      </c>
      <c r="I63" s="84" t="inlineStr">
        <is>
          <t>No</t>
        </is>
      </c>
      <c r="J63"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63"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63" s="84" t="inlineStr">
        <is>
          <t>SIM-099, SIM-100, SIM-101, SIM-102, SIM-103 (bugs fixed first), SIM-152 (conftest)</t>
        </is>
      </c>
      <c r="M63" s="84" t="inlineStr">
        <is>
          <t>Most complex component in Phase 2 scope with zero coverage — highest testing priority.</t>
        </is>
      </c>
    </row>
    <row r="64" ht="157.5" customHeight="1" s="47">
      <c r="A64" s="84" t="inlineStr">
        <is>
          <t>SIM-111</t>
        </is>
      </c>
      <c r="B64" s="84" t="inlineStr">
        <is>
          <t>Define play pool query API column contracts before Phase 3 delivery</t>
        </is>
      </c>
      <c r="C64" s="84" t="inlineStr">
        <is>
          <t>Backend API</t>
        </is>
      </c>
      <c r="D64" s="84" t="inlineStr">
        <is>
          <t>Gap</t>
        </is>
      </c>
      <c r="E64" s="85" t="inlineStr">
        <is>
          <t>P1</t>
        </is>
      </c>
      <c r="F64" s="84" t="inlineStr">
        <is>
          <t>S (1–2 days)</t>
        </is>
      </c>
      <c r="G64" s="84" t="inlineStr">
        <is>
          <t>Backend Developer + Data Engineer</t>
        </is>
      </c>
      <c r="H64" s="87" t="inlineStr">
        <is>
          <t>Closed</t>
        </is>
      </c>
      <c r="I64" s="84" t="inlineStr">
        <is>
          <t>No</t>
        </is>
      </c>
      <c r="J6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6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64" s="84" t="inlineStr">
        <is>
          <t>SIM-076 (recency_weight column must exist)</t>
        </is>
      </c>
      <c r="M64" s="84" t="inlineStr">
        <is>
          <t>Phase 4 cannot be correctly implemented without this contract being locked.</t>
        </is>
      </c>
    </row>
    <row r="65" ht="135.75" customHeight="1" s="47">
      <c r="A65" s="84" t="inlineStr">
        <is>
          <t>SIM-113</t>
        </is>
      </c>
      <c r="B65" s="84" t="inlineStr">
        <is>
          <t>Fix GMM batch pipeline performance: dynamic n_workers, eliminate per-pitcher IPC, batch DuckDB writes</t>
        </is>
      </c>
      <c r="C65" s="84" t="inlineStr">
        <is>
          <t>Performance</t>
        </is>
      </c>
      <c r="D65" s="84" t="inlineStr">
        <is>
          <t>Improvement</t>
        </is>
      </c>
      <c r="E65" s="85" t="inlineStr">
        <is>
          <t>P1</t>
        </is>
      </c>
      <c r="F65" s="84" t="inlineStr">
        <is>
          <t>M (3–5 days)</t>
        </is>
      </c>
      <c r="G65" s="84" t="inlineStr">
        <is>
          <t>Performance Engineer + Data Engineer</t>
        </is>
      </c>
      <c r="H65" s="87" t="inlineStr">
        <is>
          <t>Closed</t>
        </is>
      </c>
      <c r="I65" s="84" t="inlineStr">
        <is>
          <t>No</t>
        </is>
      </c>
      <c r="J65"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65"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65" s="84" t="inlineStr">
        <is>
          <t>None</t>
        </is>
      </c>
      <c r="M65" s="84" t="inlineStr">
        <is>
          <t>Makes the nightly batch job tractable before it's run against real multi-season data.</t>
        </is>
      </c>
    </row>
    <row r="66" ht="157.5" customHeight="1" s="47">
      <c r="A66" s="84" t="inlineStr">
        <is>
          <t>SIM-114</t>
        </is>
      </c>
      <c r="B66" s="84" t="inlineStr">
        <is>
          <t>FAISS index design spec: IVFFlat, nprobe, pre-filter requirement, and shared memory strategy</t>
        </is>
      </c>
      <c r="C66" s="84" t="inlineStr">
        <is>
          <t>Performance</t>
        </is>
      </c>
      <c r="D66" s="84" t="inlineStr">
        <is>
          <t>Gap</t>
        </is>
      </c>
      <c r="E66" s="85" t="inlineStr">
        <is>
          <t>P1</t>
        </is>
      </c>
      <c r="F66" s="84" t="inlineStr">
        <is>
          <t>M (3–5 days)</t>
        </is>
      </c>
      <c r="G66" s="84" t="inlineStr">
        <is>
          <t>Performance Engineer + ML Engineer</t>
        </is>
      </c>
      <c r="H66" s="87" t="inlineStr">
        <is>
          <t>Closed</t>
        </is>
      </c>
      <c r="I66" s="84" t="inlineStr">
        <is>
          <t>No</t>
        </is>
      </c>
      <c r="J66" s="84" t="inlineStr">
        <is>
          <t>The current spec says 'FAISS flat index' which at 1M rows would produce ~300 seconds per 100-game batch — 10× over SLA. This ticket produces a written design spec (not implementation) that must be locked before Phase 3 builds the indexes.</t>
        </is>
      </c>
      <c r="K66"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66" s="84" t="inlineStr">
        <is>
          <t>None</t>
        </is>
      </c>
      <c r="M66" s="84" t="inlineStr">
        <is>
          <t>FATAL SLA risk if deferred — wrong choice here makes the 30s target unachievable.</t>
        </is>
      </c>
    </row>
    <row r="67" ht="124.5" customHeight="1" s="47">
      <c r="A67" s="84" t="inlineStr">
        <is>
          <t>SIM-115</t>
        </is>
      </c>
      <c r="B67" s="84" t="inlineStr">
        <is>
          <t>Prune DuckDB sim pool indexes — keep 3 query-path indexes, drop 8 write-overhead indexes</t>
        </is>
      </c>
      <c r="C67" s="84" t="inlineStr">
        <is>
          <t>Schema / ETL</t>
        </is>
      </c>
      <c r="D67" s="84" t="inlineStr">
        <is>
          <t>Improvement</t>
        </is>
      </c>
      <c r="E67" s="85" t="inlineStr">
        <is>
          <t>P1</t>
        </is>
      </c>
      <c r="F67" s="84" t="inlineStr">
        <is>
          <t>S (&lt; 1 day)</t>
        </is>
      </c>
      <c r="G67" s="84" t="inlineStr">
        <is>
          <t>Data Engineer + Performance Engineer</t>
        </is>
      </c>
      <c r="H67" s="87" t="inlineStr">
        <is>
          <t>Closed</t>
        </is>
      </c>
      <c r="I67" s="84" t="inlineStr">
        <is>
          <t>No</t>
        </is>
      </c>
      <c r="J67"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7"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7" s="84" t="inlineStr">
        <is>
          <t>SIM-111 (play pool query contracts must be confirmed first)</t>
        </is>
      </c>
      <c r="M67" s="84" t="inlineStr">
        <is>
          <t>Do not drop indexes until SIM-111 access patterns are confirmed — dropping the wrong index causes a regression.</t>
        </is>
      </c>
    </row>
    <row r="68" ht="157.5" customHeight="1" s="47">
      <c r="A68" s="84" t="inlineStr">
        <is>
          <t>SIM-118</t>
        </is>
      </c>
      <c r="B68" s="84" t="inlineStr">
        <is>
          <t>Create performance benchmark harness — without measurement, SLA targets are estimates</t>
        </is>
      </c>
      <c r="C68" s="84" t="inlineStr">
        <is>
          <t>Performance</t>
        </is>
      </c>
      <c r="D68" s="84" t="inlineStr">
        <is>
          <t>Gap</t>
        </is>
      </c>
      <c r="E68" s="85" t="inlineStr">
        <is>
          <t>P1</t>
        </is>
      </c>
      <c r="F68" s="84" t="inlineStr">
        <is>
          <t>M (3–5 days)</t>
        </is>
      </c>
      <c r="G68" s="84" t="inlineStr">
        <is>
          <t>Performance Engineer</t>
        </is>
      </c>
      <c r="H68" s="87" t="inlineStr">
        <is>
          <t>Closed</t>
        </is>
      </c>
      <c r="I68" s="84" t="inlineStr">
        <is>
          <t>No</t>
        </is>
      </c>
      <c r="J68"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68"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68" s="84" t="inlineStr">
        <is>
          <t>SIM-075 (must be benchmarked after vectorization), SIM-147 (pytest config)</t>
        </is>
      </c>
      <c r="M68" s="84" t="inlineStr">
        <is>
          <t>All PE recommendations are hypothetical until this exists. Build it now, validate Phase 4 later.</t>
        </is>
      </c>
    </row>
    <row r="69" ht="135.75" customHeight="1" s="47">
      <c r="A69" s="84" t="inlineStr">
        <is>
          <t>SIM-119</t>
        </is>
      </c>
      <c r="B69" s="84" t="inlineStr">
        <is>
          <t>Define per-step time budget for the 8-step simulation loop</t>
        </is>
      </c>
      <c r="C69" s="84" t="inlineStr">
        <is>
          <t>Performance</t>
        </is>
      </c>
      <c r="D69" s="84" t="inlineStr">
        <is>
          <t>Gap</t>
        </is>
      </c>
      <c r="E69" s="85" t="inlineStr">
        <is>
          <t>P1</t>
        </is>
      </c>
      <c r="F69" s="84" t="inlineStr">
        <is>
          <t>S (&lt; 1 day)</t>
        </is>
      </c>
      <c r="G69" s="84" t="inlineStr">
        <is>
          <t>Performance Engineer + Backend Developer</t>
        </is>
      </c>
      <c r="H69" s="87" t="inlineStr">
        <is>
          <t>Closed</t>
        </is>
      </c>
      <c r="I69" s="84" t="inlineStr">
        <is>
          <t>No</t>
        </is>
      </c>
      <c r="J69" s="84" t="inlineStr">
        <is>
          <t>The 2s single-game SLA has no per-step budget. Without step budgets, Phase 4 has no way to know if each step is on track during implementation. Each step must have a pytest-benchmark assertion as part of its acceptance criteria.</t>
        </is>
      </c>
      <c r="K6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69" s="84" t="inlineStr">
        <is>
          <t>SIM-118 (benchmark harness infrastructure)</t>
        </is>
      </c>
      <c r="M69" s="84" t="inlineStr">
        <is>
          <t>Step budgets convert the 30s SLA from a post-hoc check into a per-step implementation requirement.</t>
        </is>
      </c>
    </row>
    <row r="70" ht="147" customHeight="1" s="47">
      <c r="A70" s="84" t="inlineStr">
        <is>
          <t>SIM-120</t>
        </is>
      </c>
      <c r="B70" s="84" t="inlineStr">
        <is>
          <t>Benchmark ProcessPoolExecutor vs ThreadPoolExecutor for simulation runner before Phase 5 commits</t>
        </is>
      </c>
      <c r="C70" s="84" t="inlineStr">
        <is>
          <t>Performance</t>
        </is>
      </c>
      <c r="D70" s="84" t="inlineStr">
        <is>
          <t>Gap</t>
        </is>
      </c>
      <c r="E70" s="85" t="inlineStr">
        <is>
          <t>P1</t>
        </is>
      </c>
      <c r="F70" s="84" t="inlineStr">
        <is>
          <t>S (1–2 days)</t>
        </is>
      </c>
      <c r="G70" s="84" t="inlineStr">
        <is>
          <t>Performance Engineer + Backend Developer</t>
        </is>
      </c>
      <c r="H70" s="87" t="inlineStr">
        <is>
          <t>Open</t>
        </is>
      </c>
      <c r="I70" s="84" t="inlineStr">
        <is>
          <t>No</t>
        </is>
      </c>
      <c r="J7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7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70" s="84" t="inlineStr">
        <is>
          <t>Phase 4 simulate_game() must be implemented first</t>
        </is>
      </c>
      <c r="M70" s="84" t="inlineStr">
        <is>
          <t>If threads work, eliminates the entire shared memory complexity of the process pool approach.</t>
        </is>
      </c>
    </row>
    <row r="71" ht="168.75" customHeight="1" s="47">
      <c r="A71" s="84" t="inlineStr">
        <is>
          <t>SIM-127</t>
        </is>
      </c>
      <c r="B71" s="84" t="inlineStr">
        <is>
          <t>Define simulation staleness system: last-updated timestamp, amber indicator, loading states, empty states</t>
        </is>
      </c>
      <c r="C71" s="84" t="inlineStr">
        <is>
          <t>Frontend</t>
        </is>
      </c>
      <c r="D71" s="84" t="inlineStr">
        <is>
          <t>Gap</t>
        </is>
      </c>
      <c r="E71" s="85" t="inlineStr">
        <is>
          <t>P1</t>
        </is>
      </c>
      <c r="F71" s="84" t="inlineStr">
        <is>
          <t>M (3–5 days)</t>
        </is>
      </c>
      <c r="G71" s="84" t="inlineStr">
        <is>
          <t>UX Designer + Backend Developer</t>
        </is>
      </c>
      <c r="H71" s="87" t="inlineStr">
        <is>
          <t>Open</t>
        </is>
      </c>
      <c r="I71" s="84" t="inlineStr">
        <is>
          <t>No</t>
        </is>
      </c>
      <c r="J7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7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71" s="84" t="inlineStr">
        <is>
          <t>SIM-112 (simulated_at and confidence_interval fields), SIM-125/126 (layout wireframes)</t>
        </is>
      </c>
      <c r="M71" s="84" t="inlineStr">
        <is>
          <t>Betting-critical: users making financial decisions must know the age and reliability of displayed data.</t>
        </is>
      </c>
    </row>
    <row r="72" ht="180" customHeight="1" s="47">
      <c r="A72" s="84" t="inlineStr">
        <is>
          <t>SIM-128</t>
        </is>
      </c>
      <c r="B72" s="84" t="inlineStr">
        <is>
          <t>Redesign override panel as staged-change queue with undo, multi-change, visual indicator system</t>
        </is>
      </c>
      <c r="C72" s="84" t="inlineStr">
        <is>
          <t>Frontend</t>
        </is>
      </c>
      <c r="D72" s="84" t="inlineStr">
        <is>
          <t>Improvement</t>
        </is>
      </c>
      <c r="E72" s="85" t="inlineStr">
        <is>
          <t>P1</t>
        </is>
      </c>
      <c r="F72" s="84" t="inlineStr">
        <is>
          <t>L (1–2 weeks)</t>
        </is>
      </c>
      <c r="G72" s="84" t="inlineStr">
        <is>
          <t>UX Designer</t>
        </is>
      </c>
      <c r="H72" s="87" t="inlineStr">
        <is>
          <t>Open</t>
        </is>
      </c>
      <c r="I72" s="84" t="inlineStr">
        <is>
          <t>No</t>
        </is>
      </c>
      <c r="J7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7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72" s="84" t="inlineStr">
        <is>
          <t>SIM-109 (multi-substitution API endpoint), SIM-126 (Game Page layout — override drawer position)</t>
        </is>
      </c>
      <c r="M72" s="84" t="inlineStr">
        <is>
          <t>Most complex UI component — must be fully spec'd before Phase 6 Step 6.5 begins.</t>
        </is>
      </c>
    </row>
    <row r="73" ht="168.75" customHeight="1" s="47">
      <c r="A73" s="84" t="inlineStr">
        <is>
          <t>SIM-129</t>
        </is>
      </c>
      <c r="B73" s="84" t="inlineStr">
        <is>
          <t>Add distribution views to ScoreDistributionChart and ProjectedBoxscore — averages lose prop signal</t>
        </is>
      </c>
      <c r="C73" s="84" t="inlineStr">
        <is>
          <t>Frontend</t>
        </is>
      </c>
      <c r="D73" s="84" t="inlineStr">
        <is>
          <t>Improvement</t>
        </is>
      </c>
      <c r="E73" s="85" t="inlineStr">
        <is>
          <t>P1</t>
        </is>
      </c>
      <c r="F73" s="84" t="inlineStr">
        <is>
          <t>M (3–5 days)</t>
        </is>
      </c>
      <c r="G73" s="84" t="inlineStr">
        <is>
          <t>UX Designer + Betting Analyst</t>
        </is>
      </c>
      <c r="H73" s="87" t="inlineStr">
        <is>
          <t>Open</t>
        </is>
      </c>
      <c r="I73" s="84" t="inlineStr">
        <is>
          <t>No</t>
        </is>
      </c>
      <c r="J73"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73"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73" s="84" t="inlineStr">
        <is>
          <t>SIM-112 (raw per-iteration lists), SIM-124 (Betting Analyst input on distribution display)</t>
        </is>
      </c>
      <c r="M73" s="84" t="inlineStr">
        <is>
          <t>The core CLV display feature — this is how the platform's prop predictions are validated against markets.</t>
        </is>
      </c>
    </row>
    <row r="74" ht="157.5" customHeight="1" s="47">
      <c r="A74" s="84" t="inlineStr">
        <is>
          <t>SIM-130</t>
        </is>
      </c>
      <c r="B74" s="84" t="inlineStr">
        <is>
          <t>Spec additions for Day Summary page: card lineup collapse, field graphic label rules, date navigation zones</t>
        </is>
      </c>
      <c r="C74" s="84" t="inlineStr">
        <is>
          <t>Frontend</t>
        </is>
      </c>
      <c r="D74" s="84" t="inlineStr">
        <is>
          <t>Bug</t>
        </is>
      </c>
      <c r="E74" s="85" t="inlineStr">
        <is>
          <t>P1</t>
        </is>
      </c>
      <c r="F74" s="84" t="inlineStr">
        <is>
          <t>M (3–5 days)</t>
        </is>
      </c>
      <c r="G74" s="84" t="inlineStr">
        <is>
          <t>UX Designer</t>
        </is>
      </c>
      <c r="H74" s="87" t="inlineStr">
        <is>
          <t>Open</t>
        </is>
      </c>
      <c r="I74" s="84" t="inlineStr">
        <is>
          <t>No</t>
        </is>
      </c>
      <c r="J7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7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74" s="84" t="inlineStr">
        <is>
          <t>SIM-125 (mobile wireframes), SIM-126 (Game Page layout)</t>
        </is>
      </c>
      <c r="M74" s="84" t="inlineStr">
        <is>
          <t>Spec additions for Phase 6 Steps 6.2 and 6.3 — required before those steps begin implementation.</t>
        </is>
      </c>
    </row>
    <row r="75" ht="157.5" customHeight="1" s="47">
      <c r="A75" s="84" t="inlineStr">
        <is>
          <t>SIM-131</t>
        </is>
      </c>
      <c r="B75" s="84" t="inlineStr">
        <is>
          <t>Define WebSocket live update state machine and play-by-play virtualization requirements</t>
        </is>
      </c>
      <c r="C75" s="84" t="inlineStr">
        <is>
          <t>Frontend</t>
        </is>
      </c>
      <c r="D75" s="84" t="inlineStr">
        <is>
          <t>Gap</t>
        </is>
      </c>
      <c r="E75" s="85" t="inlineStr">
        <is>
          <t>P1</t>
        </is>
      </c>
      <c r="F75" s="84" t="inlineStr">
        <is>
          <t>M (3–5 days)</t>
        </is>
      </c>
      <c r="G75" s="84" t="inlineStr">
        <is>
          <t>UX Designer + Backend Developer</t>
        </is>
      </c>
      <c r="H75" s="87" t="inlineStr">
        <is>
          <t>Open</t>
        </is>
      </c>
      <c r="I75" s="84" t="inlineStr">
        <is>
          <t>No</t>
        </is>
      </c>
      <c r="J7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7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75" s="84" t="inlineStr">
        <is>
          <t>SIM-109 (WS channel architecture), SIM-126 (Game Page layout)</t>
        </is>
      </c>
      <c r="M75" s="84" t="inlineStr">
        <is>
          <t>Required for Phase 6 Steps 6.3 and 6.4 correctness. WS state machine spec must precede implementation.</t>
        </is>
      </c>
    </row>
    <row r="76" ht="23.25" customHeight="1" s="47">
      <c r="A76" s="84" t="inlineStr">
        <is>
          <t>SIM-132</t>
        </is>
      </c>
      <c r="B76" s="84" t="inlineStr">
        <is>
          <t>Fix MockOddsAPI Zero-Vig + resim doc</t>
        </is>
      </c>
      <c r="C76" s="84" t="inlineStr">
        <is>
          <t>Live Pipeline</t>
        </is>
      </c>
      <c r="D76" s="84" t="inlineStr">
        <is>
          <t>Bug</t>
        </is>
      </c>
      <c r="E76" s="85" t="inlineStr">
        <is>
          <t>P1</t>
        </is>
      </c>
      <c r="F76" s="84" t="inlineStr">
        <is>
          <t>S</t>
        </is>
      </c>
      <c r="G76" s="84" t="inlineStr">
        <is>
          <t>Backend Developer</t>
        </is>
      </c>
      <c r="H76" s="89" t="inlineStr">
        <is>
          <t>Closed</t>
        </is>
      </c>
      <c r="I76" s="84" t="inlineStr">
        <is>
          <t>No</t>
        </is>
      </c>
      <c r="J76" s="84" t="inlineStr">
        <is>
          <t>Implied probs summed to exactly 1.0 (no vig); architecture comment lied.</t>
        </is>
      </c>
      <c r="K76" s="84" t="inlineStr">
        <is>
          <t>vig in [0.06, 0.10]; comment fixed.</t>
        </is>
      </c>
      <c r="L76" s="84" t="inlineStr">
        <is>
          <t>None</t>
        </is>
      </c>
      <c r="M76" s="84" t="inlineStr">
        <is>
          <t>Shipped sprint 2026-05-05. SIM-096 follow-up tightens RNG floor.</t>
        </is>
      </c>
    </row>
    <row r="77" ht="23.25" customHeight="1" s="47">
      <c r="A77" s="84" t="inlineStr">
        <is>
          <t>SIM-133</t>
        </is>
      </c>
      <c r="B77" s="84" t="inlineStr">
        <is>
          <t>Extend raw.game_odds for CLV</t>
        </is>
      </c>
      <c r="C77" s="84" t="inlineStr">
        <is>
          <t>Schema / ETL</t>
        </is>
      </c>
      <c r="D77" s="84" t="inlineStr">
        <is>
          <t>Bug</t>
        </is>
      </c>
      <c r="E77" s="85" t="inlineStr">
        <is>
          <t>P1</t>
        </is>
      </c>
      <c r="F77" s="84" t="inlineStr">
        <is>
          <t>S</t>
        </is>
      </c>
      <c r="G77" s="84" t="inlineStr">
        <is>
          <t>Data Engineer</t>
        </is>
      </c>
      <c r="H77" s="89" t="inlineStr">
        <is>
          <t>Closed</t>
        </is>
      </c>
      <c r="I77" s="84" t="inlineStr">
        <is>
          <t>No</t>
        </is>
      </c>
      <c r="J77" s="84" t="inlineStr">
        <is>
          <t>No line_type / book / market_type / is_sharp_book columns.</t>
        </is>
      </c>
      <c r="K77" s="84" t="inlineStr">
        <is>
          <t>Four CLV columns added via migration 0003 (combined w/ SIM-083).</t>
        </is>
      </c>
      <c r="L77" s="84" t="inlineStr">
        <is>
          <t>SIM-084</t>
        </is>
      </c>
      <c r="M77" s="84" t="inlineStr">
        <is>
          <t>Shipped sprint 2026-05-05.</t>
        </is>
      </c>
    </row>
    <row r="78" ht="23.25" customHeight="1" s="47">
      <c r="A78" s="84" t="inlineStr">
        <is>
          <t>SIM-134</t>
        </is>
      </c>
      <c r="B78" s="84" t="inlineStr">
        <is>
          <t>raw.prop_odds CHECK + MockOddsAPI prop lines</t>
        </is>
      </c>
      <c r="C78" s="84" t="inlineStr">
        <is>
          <t>Schema / ETL</t>
        </is>
      </c>
      <c r="D78" s="84" t="inlineStr">
        <is>
          <t>Gap</t>
        </is>
      </c>
      <c r="E78" s="85" t="inlineStr">
        <is>
          <t>P1</t>
        </is>
      </c>
      <c r="F78" s="84" t="inlineStr">
        <is>
          <t>M</t>
        </is>
      </c>
      <c r="G78" s="84" t="inlineStr">
        <is>
          <t>Data Engineer + Betting Analyst</t>
        </is>
      </c>
      <c r="H78" s="89" t="inlineStr">
        <is>
          <t>Closed</t>
        </is>
      </c>
      <c r="I78" s="84" t="inlineStr">
        <is>
          <t>No</t>
        </is>
      </c>
      <c r="J78" s="84" t="inlineStr">
        <is>
          <t>prop_type had no CHECK; MockOddsAPI had no prop method.</t>
        </is>
      </c>
      <c r="K78" s="84" t="inlineStr">
        <is>
          <t>Migration 0004; 7-value CHECK; MockOddsAPI.get_prop_odds; compound index.</t>
        </is>
      </c>
      <c r="L78" s="84" t="inlineStr">
        <is>
          <t>SIM-083</t>
        </is>
      </c>
      <c r="M78" s="84" t="inlineStr">
        <is>
          <t>Shipped sprint 2026-05-05.</t>
        </is>
      </c>
    </row>
    <row r="79" ht="15" customHeight="1" s="47">
      <c r="A79" s="84" t="inlineStr">
        <is>
          <t>SIM-138</t>
        </is>
      </c>
      <c r="B79" s="84" t="inlineStr">
        <is>
          <t>Nightly Opening Line Ingestion Job</t>
        </is>
      </c>
      <c r="C79" s="84" t="inlineStr">
        <is>
          <t>Live Pipeline</t>
        </is>
      </c>
      <c r="D79" s="84" t="inlineStr">
        <is>
          <t>Gap</t>
        </is>
      </c>
      <c r="E79" s="85" t="inlineStr">
        <is>
          <t>P1</t>
        </is>
      </c>
      <c r="F79" s="84" t="inlineStr">
        <is>
          <t>S</t>
        </is>
      </c>
      <c r="G79" s="84" t="inlineStr">
        <is>
          <t>Data Engineer</t>
        </is>
      </c>
      <c r="H79" s="89" t="inlineStr">
        <is>
          <t>Closed</t>
        </is>
      </c>
      <c r="I79" s="84" t="inlineStr">
        <is>
          <t>No</t>
        </is>
      </c>
      <c r="J79" s="84" t="inlineStr">
        <is>
          <t>Opening lines lost permanently each missing day.</t>
        </is>
      </c>
      <c r="K79" s="84" t="inlineStr">
        <is>
          <t>OpeningLineJob (cron + APScheduler); 7-day lookahead.</t>
        </is>
      </c>
      <c r="L79" s="84" t="inlineStr">
        <is>
          <t>SIM-133, SIM-134</t>
        </is>
      </c>
      <c r="M79" s="84" t="inlineStr">
        <is>
          <t>Shipped sprint 2026-05-05.</t>
        </is>
      </c>
    </row>
    <row r="80" ht="157.5" customHeight="1" s="47">
      <c r="A80" s="84" t="inlineStr">
        <is>
          <t>SIM-139</t>
        </is>
      </c>
      <c r="B80" s="84" t="inlineStr">
        <is>
          <t>Define real odds integration spec: provider, cadence, multi-book hierarchy, prop timing</t>
        </is>
      </c>
      <c r="C80" s="84" t="inlineStr">
        <is>
          <t>Betting Infrastructure</t>
        </is>
      </c>
      <c r="D80" s="84" t="inlineStr">
        <is>
          <t>Gap</t>
        </is>
      </c>
      <c r="E80" s="85" t="inlineStr">
        <is>
          <t>P1</t>
        </is>
      </c>
      <c r="F80" s="84" t="inlineStr">
        <is>
          <t>M (3–5 days)</t>
        </is>
      </c>
      <c r="G80" s="84" t="inlineStr">
        <is>
          <t>Betting Analyst + Data Engineer</t>
        </is>
      </c>
      <c r="H80" s="87" t="inlineStr">
        <is>
          <t>Open</t>
        </is>
      </c>
      <c r="I80" s="84" t="inlineStr">
        <is>
          <t>No</t>
        </is>
      </c>
      <c r="J80" s="84" t="inlineStr">
        <is>
          <t>Phase 7 says 'swap in a real odds provider' with no spec for which provider, cadence, or multi-book methodology. Without this spec in Phase 5, the schema and ingestion architecture won't support CLV measurement when Phase 7 arrives.</t>
        </is>
      </c>
      <c r="K80"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80" s="84" t="inlineStr">
        <is>
          <t>SIM-133 (book and line_type columns), SIM-134 (raw.prop_odds table)</t>
        </is>
      </c>
      <c r="M80" s="84" t="inlineStr">
        <is>
          <t>The 'replace one function' comment in live_ingestion_pipeline.py will produce a broken CLV system without this spec.</t>
        </is>
      </c>
    </row>
    <row r="81" ht="191.25" customHeight="1" s="47">
      <c r="A81" s="84" t="inlineStr">
        <is>
          <t>SIM-141</t>
        </is>
      </c>
      <c r="B81" s="84" t="inlineStr">
        <is>
          <t>Create betting/vig_removal.py — define multiplicative vig removal as the platform standard</t>
        </is>
      </c>
      <c r="C81" s="84" t="inlineStr">
        <is>
          <t>Betting Infrastructure</t>
        </is>
      </c>
      <c r="D81" s="84" t="inlineStr">
        <is>
          <t>Gap</t>
        </is>
      </c>
      <c r="E81" s="85" t="inlineStr">
        <is>
          <t>P1</t>
        </is>
      </c>
      <c r="F81" s="84" t="inlineStr">
        <is>
          <t>S (&lt; 1 day)</t>
        </is>
      </c>
      <c r="G81" s="84" t="inlineStr">
        <is>
          <t>Betting Analyst + Backend Developer</t>
        </is>
      </c>
      <c r="H81" s="87" t="inlineStr">
        <is>
          <t>Open</t>
        </is>
      </c>
      <c r="I81" s="84" t="inlineStr">
        <is>
          <t>No</t>
        </is>
      </c>
      <c r="J81"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1"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1" s="84" t="inlineStr">
        <is>
          <t>None</t>
        </is>
      </c>
      <c r="M81" s="84" t="inlineStr">
        <is>
          <t>Foundational utility — must exist before CLV framework (SIM-136) or edge fields (SIM-112) are implemented.</t>
        </is>
      </c>
    </row>
    <row r="82" ht="124.5" customHeight="1" s="47">
      <c r="A82" s="84" t="inlineStr">
        <is>
          <t>SIM-142</t>
        </is>
      </c>
      <c r="B82" s="84" t="inlineStr">
        <is>
          <t>Spec live betting edge detection — live line ingestion, live edge threshold, WS signal delivery</t>
        </is>
      </c>
      <c r="C82" s="84" t="inlineStr">
        <is>
          <t>Betting Infrastructure</t>
        </is>
      </c>
      <c r="D82" s="84" t="inlineStr">
        <is>
          <t>Gap</t>
        </is>
      </c>
      <c r="E82" s="88" t="inlineStr">
        <is>
          <t>P2</t>
        </is>
      </c>
      <c r="F82" s="84" t="inlineStr">
        <is>
          <t>S (1–2 days)</t>
        </is>
      </c>
      <c r="G82" s="84" t="inlineStr">
        <is>
          <t>Betting Analyst</t>
        </is>
      </c>
      <c r="H82" s="87" t="inlineStr">
        <is>
          <t>Open</t>
        </is>
      </c>
      <c r="I82" s="84" t="inlineStr">
        <is>
          <t>No</t>
        </is>
      </c>
      <c r="J82" s="84" t="inlineStr">
        <is>
          <t>The live simulation (post-PA resim) is uniquely positioned to identify mispriced live lines immediately after significant plays before books adjust. This ticket produces a written spec — not implemented code. Implementation is Phase 7.</t>
        </is>
      </c>
      <c r="K82"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82" s="84" t="inlineStr">
        <is>
          <t>SIM-136 (pre-game CLV must be validated before live edge is attempted)</t>
        </is>
      </c>
      <c r="M82" s="84" t="inlineStr">
        <is>
          <t>Spec only for Phase 7. Live betting is lower priority than validating pre-game edge first.</t>
        </is>
      </c>
    </row>
    <row r="83" ht="135.75" customHeight="1" s="47">
      <c r="A83" s="84" t="inlineStr">
        <is>
          <t>SIM-143</t>
        </is>
      </c>
      <c r="B83" s="84" t="inlineStr">
        <is>
          <t>CLV dashboard API endpoint: GET /api/betting/clv/summary with segment breakdown</t>
        </is>
      </c>
      <c r="C83" s="84" t="inlineStr">
        <is>
          <t>Betting Infrastructure</t>
        </is>
      </c>
      <c r="D83" s="84" t="inlineStr">
        <is>
          <t>Feature</t>
        </is>
      </c>
      <c r="E83" s="85" t="inlineStr">
        <is>
          <t>P1</t>
        </is>
      </c>
      <c r="F83" s="84" t="inlineStr">
        <is>
          <t>M (3–5 days)</t>
        </is>
      </c>
      <c r="G83" s="84" t="inlineStr">
        <is>
          <t>Backend Developer + Betting Analyst</t>
        </is>
      </c>
      <c r="H83" s="87" t="inlineStr">
        <is>
          <t>Open</t>
        </is>
      </c>
      <c r="I83" s="84" t="inlineStr">
        <is>
          <t>No</t>
        </is>
      </c>
      <c r="J8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8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83" s="84" t="inlineStr">
        <is>
          <t>SIM-135 (bet_log table), SIM-136 (CLV computation), SIM-109 (API structure)</t>
        </is>
      </c>
      <c r="M83" s="84" t="inlineStr">
        <is>
          <t>This endpoint makes CLV measurable operationally, not just in backtesting.</t>
        </is>
      </c>
    </row>
    <row r="84" ht="23.25" customHeight="1" s="47">
      <c r="A84" s="84" t="inlineStr">
        <is>
          <t>SIM-145</t>
        </is>
      </c>
      <c r="B84" s="84" t="inlineStr">
        <is>
          <t>Docker / CI Infrastructure</t>
        </is>
      </c>
      <c r="C84" s="84" t="inlineStr">
        <is>
          <t>Infrastructure</t>
        </is>
      </c>
      <c r="D84" s="84" t="inlineStr">
        <is>
          <t>Gap</t>
        </is>
      </c>
      <c r="E84" s="85" t="inlineStr">
        <is>
          <t>P1</t>
        </is>
      </c>
      <c r="F84" s="84" t="inlineStr">
        <is>
          <t>L</t>
        </is>
      </c>
      <c r="G84" s="84" t="inlineStr">
        <is>
          <t>Data Engineer + QA/DevOps</t>
        </is>
      </c>
      <c r="H84" s="89" t="inlineStr">
        <is>
          <t>Closed</t>
        </is>
      </c>
      <c r="I84" s="84" t="inlineStr">
        <is>
          <t>No</t>
        </is>
      </c>
      <c r="J84" s="84" t="inlineStr">
        <is>
          <t>Empty requirements.txt, no Dockerfile, no integration tests.</t>
        </is>
      </c>
      <c r="K84" s="84" t="inlineStr">
        <is>
          <t>Dockerfile, docker-compose, Makefile, requirements pinned, integration tests.</t>
        </is>
      </c>
      <c r="L84" s="84" t="inlineStr">
        <is>
          <t>SIM-084</t>
        </is>
      </c>
      <c r="M84" s="84" t="inlineStr">
        <is>
          <t>Shipped sprint 2026-05-05.</t>
        </is>
      </c>
    </row>
    <row r="85" ht="23.25" customHeight="1" s="47">
      <c r="A85" s="84" t="inlineStr">
        <is>
          <t>SIM-146</t>
        </is>
      </c>
      <c r="B85" s="84" t="inlineStr">
        <is>
          <t>GitHub Actions CI Pipeline</t>
        </is>
      </c>
      <c r="C85" s="84" t="inlineStr">
        <is>
          <t>Infrastructure</t>
        </is>
      </c>
      <c r="D85" s="84" t="inlineStr">
        <is>
          <t>Feature</t>
        </is>
      </c>
      <c r="E85" s="85" t="inlineStr">
        <is>
          <t>P1</t>
        </is>
      </c>
      <c r="F85" s="84" t="inlineStr">
        <is>
          <t>M</t>
        </is>
      </c>
      <c r="G85" s="84" t="inlineStr">
        <is>
          <t>QA/DevOps</t>
        </is>
      </c>
      <c r="H85" s="89" t="inlineStr">
        <is>
          <t>Closed</t>
        </is>
      </c>
      <c r="I85" s="84" t="inlineStr">
        <is>
          <t>No</t>
        </is>
      </c>
      <c r="J85" s="84" t="inlineStr">
        <is>
          <t>No .github/workflows/; every push required manual validation.</t>
        </is>
      </c>
      <c r="K85" s="84" t="inlineStr">
        <is>
          <t>.github/workflows/ci.yml + docker-release.yml + integration-weekly.yml.</t>
        </is>
      </c>
      <c r="L85" s="84" t="inlineStr">
        <is>
          <t>SIM-145</t>
        </is>
      </c>
      <c r="M85" s="84" t="inlineStr">
        <is>
          <t>Shipped sprint 2026-05-05.</t>
        </is>
      </c>
    </row>
    <row r="86" ht="15" customHeight="1" s="47">
      <c r="A86" s="84" t="inlineStr">
        <is>
          <t>SIM-147</t>
        </is>
      </c>
      <c r="B86" s="84" t="inlineStr">
        <is>
          <t>Similarity Engine Regression Gate</t>
        </is>
      </c>
      <c r="C86" s="84" t="inlineStr">
        <is>
          <t>Testing</t>
        </is>
      </c>
      <c r="D86" s="84" t="inlineStr">
        <is>
          <t>Feature</t>
        </is>
      </c>
      <c r="E86" s="85" t="inlineStr">
        <is>
          <t>P1</t>
        </is>
      </c>
      <c r="F86" s="84" t="inlineStr">
        <is>
          <t>M</t>
        </is>
      </c>
      <c r="G86" s="84" t="inlineStr">
        <is>
          <t>QA/DevOps</t>
        </is>
      </c>
      <c r="H86" s="89" t="inlineStr">
        <is>
          <t>Closed</t>
        </is>
      </c>
      <c r="I86" s="84" t="inlineStr">
        <is>
          <t>No</t>
        </is>
      </c>
      <c r="J86" s="84" t="inlineStr">
        <is>
          <t>5 new engines had no drift-detection on CI.</t>
        </is>
      </c>
      <c r="K86" s="84" t="inlineStr">
        <is>
          <t>tests/regression/ with 54 tests across 9 classes; golden files.</t>
        </is>
      </c>
      <c r="L86" s="84" t="inlineStr">
        <is>
          <t>SIM-146</t>
        </is>
      </c>
      <c r="M86" s="84" t="inlineStr">
        <is>
          <t>Shipped sprint 2026-05-05.</t>
        </is>
      </c>
    </row>
    <row r="87" ht="34.5" customHeight="1" s="47">
      <c r="A87" s="84" t="inlineStr">
        <is>
          <t>SIM-148</t>
        </is>
      </c>
      <c r="B87" s="84" t="inlineStr">
        <is>
          <t>test_pitcher_similarity vacuous assertion + _score_pair guard</t>
        </is>
      </c>
      <c r="C87" s="84" t="inlineStr">
        <is>
          <t>Testing</t>
        </is>
      </c>
      <c r="D87" s="84" t="inlineStr">
        <is>
          <t>Bug</t>
        </is>
      </c>
      <c r="E87" s="85" t="inlineStr">
        <is>
          <t>P1</t>
        </is>
      </c>
      <c r="F87" s="84" t="inlineStr">
        <is>
          <t>S</t>
        </is>
      </c>
      <c r="G87" s="84" t="inlineStr">
        <is>
          <t>ML Engineer + QA/DevOps</t>
        </is>
      </c>
      <c r="H87" s="89" t="inlineStr">
        <is>
          <t>Closed</t>
        </is>
      </c>
      <c r="I87" s="84" t="inlineStr">
        <is>
          <t>No</t>
        </is>
      </c>
      <c r="J87" s="84" t="inlineStr">
        <is>
          <t>release_score asserts were vacuous; no _score_pair shape regression.</t>
        </is>
      </c>
      <c r="K87" s="84" t="inlineStr">
        <is>
          <t>Removed dead asserts; added 3-tuple regression; doctest sentinel.</t>
        </is>
      </c>
      <c r="L87" s="84" t="inlineStr">
        <is>
          <t>SIM-067</t>
        </is>
      </c>
      <c r="M87" s="84" t="inlineStr">
        <is>
          <t>Shipped sprint 2026-05-07. PM-accepted with documented `len==3` deviation from ticket-text `len==4`.</t>
        </is>
      </c>
    </row>
    <row r="88" ht="135.75" customHeight="1" s="47">
      <c r="A88" s="84" t="inlineStr">
        <is>
          <t>SIM-149</t>
        </is>
      </c>
      <c r="B88" s="84" t="inlineStr">
        <is>
          <t>Create tests/unit/test_baserunner_similarity.py — engine marked complete but untested</t>
        </is>
      </c>
      <c r="C88" s="84" t="inlineStr">
        <is>
          <t>Testing</t>
        </is>
      </c>
      <c r="D88" s="84" t="inlineStr">
        <is>
          <t>Bug</t>
        </is>
      </c>
      <c r="E88" s="85" t="inlineStr">
        <is>
          <t>P1</t>
        </is>
      </c>
      <c r="F88" s="84" t="inlineStr">
        <is>
          <t>M (3–5 days)</t>
        </is>
      </c>
      <c r="G88" s="84" t="inlineStr">
        <is>
          <t>ML Engineer + QA/DevOps</t>
        </is>
      </c>
      <c r="H88" s="87" t="inlineStr">
        <is>
          <t>Closed</t>
        </is>
      </c>
      <c r="I88" s="84" t="inlineStr">
        <is>
          <t>No</t>
        </is>
      </c>
      <c r="J8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8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88" s="84" t="inlineStr">
        <is>
          <t>SIM-070, SIM-077 (bugs must be fixed first)</t>
        </is>
      </c>
      <c r="M88" s="84" t="inlineStr">
        <is>
          <t>Phase 2 cannot be closed without this file.</t>
        </is>
      </c>
    </row>
    <row r="89" ht="113.25" customHeight="1" s="47">
      <c r="A89" s="84" t="inlineStr">
        <is>
          <t>SIM-150</t>
        </is>
      </c>
      <c r="B89" s="84" t="inlineStr">
        <is>
          <t>Extend test_similarity_calibration.py to cover all 5 MLE calibration bugs</t>
        </is>
      </c>
      <c r="C89" s="84" t="inlineStr">
        <is>
          <t>Testing</t>
        </is>
      </c>
      <c r="D89" s="84" t="inlineStr">
        <is>
          <t>Bug</t>
        </is>
      </c>
      <c r="E89" s="85" t="inlineStr">
        <is>
          <t>P1</t>
        </is>
      </c>
      <c r="F89" s="84" t="inlineStr">
        <is>
          <t>S (1–2 days)</t>
        </is>
      </c>
      <c r="G89" s="84" t="inlineStr">
        <is>
          <t>ML Engineer + QA/DevOps</t>
        </is>
      </c>
      <c r="H89" s="87" t="inlineStr">
        <is>
          <t>Closed</t>
        </is>
      </c>
      <c r="I89" s="84" t="inlineStr">
        <is>
          <t>No</t>
        </is>
      </c>
      <c r="J8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8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89" s="84" t="inlineStr">
        <is>
          <t>SIM-066, SIM-067, SIM-068, SIM-069, SIM-073 (bugs fixed first)</t>
        </is>
      </c>
      <c r="M89" s="84" t="inlineStr">
        <is>
          <t>Retroactive regression coverage — prevents all 5 calibration bugs from re-appearing.</t>
        </is>
      </c>
    </row>
    <row r="90" ht="157.5" customHeight="1" s="47">
      <c r="A90" s="84" t="inlineStr">
        <is>
          <t>SIM-151</t>
        </is>
      </c>
      <c r="B90" s="84" t="inlineStr">
        <is>
          <t>Add error-path tests to ETL test suite — 163 existing tests are all happy-path</t>
        </is>
      </c>
      <c r="C90" s="84" t="inlineStr">
        <is>
          <t>Testing</t>
        </is>
      </c>
      <c r="D90" s="84" t="inlineStr">
        <is>
          <t>Bug</t>
        </is>
      </c>
      <c r="E90" s="85" t="inlineStr">
        <is>
          <t>P1</t>
        </is>
      </c>
      <c r="F90" s="84" t="inlineStr">
        <is>
          <t>M (3–5 days)</t>
        </is>
      </c>
      <c r="G90" s="84" t="inlineStr">
        <is>
          <t>Data Engineer + QA/DevOps</t>
        </is>
      </c>
      <c r="H90" s="87" t="inlineStr">
        <is>
          <t>Open</t>
        </is>
      </c>
      <c r="I90" s="84" t="inlineStr">
        <is>
          <t>No</t>
        </is>
      </c>
      <c r="J9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9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90" s="84" t="inlineStr">
        <is>
          <t>SIM-082, SIM-083, SIM-086, SIM-087, SIM-092 (bugs fixed first)</t>
        </is>
      </c>
      <c r="M90" s="84" t="inlineStr">
        <is>
          <t>Error-path tests are where production systems fail — these must exist.</t>
        </is>
      </c>
    </row>
    <row r="91" ht="135.75" customHeight="1" s="47">
      <c r="A91" s="84" t="inlineStr">
        <is>
          <t>SIM-152</t>
        </is>
      </c>
      <c r="B91" s="84" t="inlineStr">
        <is>
          <t>Create tests/conftest.py with shared fixtures — eliminate 3× duplicated profile builders</t>
        </is>
      </c>
      <c r="C91" s="84" t="inlineStr">
        <is>
          <t>Testing</t>
        </is>
      </c>
      <c r="D91" s="84" t="inlineStr">
        <is>
          <t>Improvement</t>
        </is>
      </c>
      <c r="E91" s="88" t="inlineStr">
        <is>
          <t>P2</t>
        </is>
      </c>
      <c r="F91" s="84" t="inlineStr">
        <is>
          <t>S (1–2 days)</t>
        </is>
      </c>
      <c r="G91" s="84" t="inlineStr">
        <is>
          <t>QA/DevOps</t>
        </is>
      </c>
      <c r="H91" s="87" t="inlineStr">
        <is>
          <t>Open</t>
        </is>
      </c>
      <c r="I91" s="84" t="inlineStr">
        <is>
          <t>No</t>
        </is>
      </c>
      <c r="J91"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91"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91" s="84" t="inlineStr">
        <is>
          <t>SIM-147 (pyproject.toml), SIM-071 (import paths)</t>
        </is>
      </c>
      <c r="M91" s="84" t="inlineStr">
        <is>
          <t>Maintenance improvement — the pattern is correct, it just needs to be centralized.</t>
        </is>
      </c>
    </row>
    <row r="92" ht="23.25" customHeight="1" s="47">
      <c r="A92" s="84" t="inlineStr">
        <is>
          <t>SIM-153</t>
        </is>
      </c>
      <c r="B92" s="84" t="inlineStr">
        <is>
          <t>Secrets management baseline</t>
        </is>
      </c>
      <c r="C92" s="84" t="inlineStr">
        <is>
          <t>Infrastructure</t>
        </is>
      </c>
      <c r="D92" s="84" t="inlineStr">
        <is>
          <t>Gap</t>
        </is>
      </c>
      <c r="E92" s="85" t="inlineStr">
        <is>
          <t>P1</t>
        </is>
      </c>
      <c r="F92" s="84" t="inlineStr">
        <is>
          <t>S</t>
        </is>
      </c>
      <c r="G92" s="84" t="inlineStr">
        <is>
          <t>QA/DevOps + Backend Developer</t>
        </is>
      </c>
      <c r="H92" s="89" t="inlineStr">
        <is>
          <t>Closed</t>
        </is>
      </c>
      <c r="I92" s="84" t="inlineStr">
        <is>
          <t>No</t>
        </is>
      </c>
      <c r="J92" s="84" t="inlineStr">
        <is>
          <t>Bare DSN strings; no env-var pattern; no startup validation; no CI secret check.</t>
        </is>
      </c>
      <c r="K92" s="84" t="inlineStr">
        <is>
          <t>validate_environment + env-fallback DSN + CI secrets-check job.</t>
        </is>
      </c>
      <c r="L92" s="84" t="inlineStr">
        <is>
          <t>SIM-145</t>
        </is>
      </c>
      <c r="M92" s="84" t="inlineStr">
        <is>
          <t>Shipped sprint 2026-05-07. PM-accepted 2026-05-07.</t>
        </is>
      </c>
    </row>
    <row r="93" ht="113.25" customHeight="1" s="47">
      <c r="A93" s="84" t="inlineStr">
        <is>
          <t>SIM-154</t>
        </is>
      </c>
      <c r="B93" s="84" t="inlineStr">
        <is>
          <t>Add model regression gate to CI — run diagnostics on every PR; fail on calibration drift</t>
        </is>
      </c>
      <c r="C93" s="84" t="inlineStr">
        <is>
          <t>Testing</t>
        </is>
      </c>
      <c r="D93" s="84" t="inlineStr">
        <is>
          <t>Gap</t>
        </is>
      </c>
      <c r="E93" s="85" t="inlineStr">
        <is>
          <t>P1</t>
        </is>
      </c>
      <c r="F93" s="84" t="inlineStr">
        <is>
          <t>S (1–2 days)</t>
        </is>
      </c>
      <c r="G93" s="84" t="inlineStr">
        <is>
          <t>QA/DevOps</t>
        </is>
      </c>
      <c r="H93" s="87" t="inlineStr">
        <is>
          <t>Open</t>
        </is>
      </c>
      <c r="I93" s="84" t="inlineStr">
        <is>
          <t>No</t>
        </is>
      </c>
      <c r="J9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9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93" s="84" t="inlineStr">
        <is>
          <t>SIM-050 (fielder diagnostics merged), SIM-146 (CI exists), SIM-147 (pytest config)</t>
        </is>
      </c>
      <c r="M93" s="84" t="inlineStr">
        <is>
          <t>Prevents the most expensive class of bugs — silent calibration drift from engine changes.</t>
        </is>
      </c>
    </row>
    <row r="94" ht="168.75" customHeight="1" s="47">
      <c r="A94" s="84" t="inlineStr">
        <is>
          <t>SIM-155</t>
        </is>
      </c>
      <c r="B94" s="84" t="inlineStr">
        <is>
          <t>Create integration test suite — minimum viable ETL→profiles→engine cross-component flow</t>
        </is>
      </c>
      <c r="C94" s="84" t="inlineStr">
        <is>
          <t>Testing</t>
        </is>
      </c>
      <c r="D94" s="84" t="inlineStr">
        <is>
          <t>Gap</t>
        </is>
      </c>
      <c r="E94" s="85" t="inlineStr">
        <is>
          <t>P1</t>
        </is>
      </c>
      <c r="F94" s="84" t="inlineStr">
        <is>
          <t>L (1–2 weeks)</t>
        </is>
      </c>
      <c r="G94" s="84" t="inlineStr">
        <is>
          <t>QA/DevOps + Data Engineer</t>
        </is>
      </c>
      <c r="H94" s="87" t="inlineStr">
        <is>
          <t>Open</t>
        </is>
      </c>
      <c r="I94" s="84" t="inlineStr">
        <is>
          <t>No</t>
        </is>
      </c>
      <c r="J94"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94"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94" s="84" t="inlineStr">
        <is>
          <t>SIM-145 (Docker), SIM-084 (Alembic), SIM-082/083 (bugs fixed)</t>
        </is>
      </c>
      <c r="M94" s="84" t="inlineStr">
        <is>
          <t>Must be complete before Phase 3 play pool architecture builds on top of the pipeline chain.</t>
        </is>
      </c>
    </row>
    <row r="95" ht="157.5" customHeight="1" s="47">
      <c r="A95" s="84" t="inlineStr">
        <is>
          <t>SIM-156</t>
        </is>
      </c>
      <c r="B95" s="84" t="inlineStr">
        <is>
          <t>Create schema contract tests — assert engine feature names map to DuckDB schema columns</t>
        </is>
      </c>
      <c r="C95" s="84" t="inlineStr">
        <is>
          <t>Testing</t>
        </is>
      </c>
      <c r="D95" s="84" t="inlineStr">
        <is>
          <t>Gap</t>
        </is>
      </c>
      <c r="E95" s="85" t="inlineStr">
        <is>
          <t>P1</t>
        </is>
      </c>
      <c r="F95" s="84" t="inlineStr">
        <is>
          <t>S (1–2 days)</t>
        </is>
      </c>
      <c r="G95" s="84" t="inlineStr">
        <is>
          <t>QA/DevOps + Data Engineer</t>
        </is>
      </c>
      <c r="H95" s="87" t="inlineStr">
        <is>
          <t>Open</t>
        </is>
      </c>
      <c r="I95" s="84" t="inlineStr">
        <is>
          <t>No</t>
        </is>
      </c>
      <c r="J95"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95"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95" s="84" t="inlineStr">
        <is>
          <t>SIM-071 (consistent import paths to engine feature lists), SIM-147</t>
        </is>
      </c>
      <c r="M95" s="84" t="inlineStr">
        <is>
          <t>Static tests — extremely cheap to run and catch an entire class of subtle bugs.</t>
        </is>
      </c>
    </row>
    <row r="96" ht="135.75" customHeight="1" s="47">
      <c r="A96" s="84" t="inlineStr">
        <is>
          <t>SIM-200</t>
        </is>
      </c>
      <c r="B96" s="84" t="inlineStr">
        <is>
          <t>Step 3b: Catcher Framing Bias on Shadow-Zone Takes</t>
        </is>
      </c>
      <c r="C96" s="84" t="inlineStr">
        <is>
          <t>Phase 4 placeholder</t>
        </is>
      </c>
      <c r="D96" s="84" t="inlineStr">
        <is>
          <t>Phase 4 design constraint</t>
        </is>
      </c>
      <c r="E96" s="85" t="inlineStr">
        <is>
          <t>P1</t>
        </is>
      </c>
      <c r="F96" s="84" t="inlineStr">
        <is>
          <t>S (when Phase 4 lands)</t>
        </is>
      </c>
      <c r="G96" s="84" t="inlineStr">
        <is>
          <t>Backend Developer + ML Engineer + Baseball Analyst</t>
        </is>
      </c>
      <c r="H96" s="90" t="inlineStr">
        <is>
          <t>Held</t>
        </is>
      </c>
      <c r="I96" s="84" t="inlineStr">
        <is>
          <t>Yes</t>
        </is>
      </c>
      <c r="J96" s="84" t="inlineStr">
        <is>
          <t>When Step 3b is built, the called-strike vs called-ball decision must incorporate catcher framing skill scoped to the shadow zone.</t>
        </is>
      </c>
      <c r="K96"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96" s="84" t="inlineStr">
        <is>
          <t>Phase 4 simulation loop scaffolding</t>
        </is>
      </c>
      <c r="M96" s="84" t="inlineStr">
        <is>
          <t>Forward-looking placeholder; do NOT ship standalone.</t>
        </is>
      </c>
    </row>
    <row r="97" ht="147" customHeight="1" s="47">
      <c r="A97" s="84" t="inlineStr">
        <is>
          <t>SIM-201</t>
        </is>
      </c>
      <c r="B97" s="84" t="inlineStr">
        <is>
          <t>Step 3b: Catcher Blocking Coefficient on Dirt-Pitch Outcomes</t>
        </is>
      </c>
      <c r="C97" s="84" t="inlineStr">
        <is>
          <t>Phase 4 placeholder</t>
        </is>
      </c>
      <c r="D97" s="84" t="inlineStr">
        <is>
          <t>Phase 4 design constraint</t>
        </is>
      </c>
      <c r="E97" s="85" t="inlineStr">
        <is>
          <t>P1</t>
        </is>
      </c>
      <c r="F97" s="84" t="inlineStr">
        <is>
          <t>S (when Phase 4 lands)</t>
        </is>
      </c>
      <c r="G97" s="84" t="inlineStr">
        <is>
          <t>Backend Developer + ML Engineer + Baseball Analyst</t>
        </is>
      </c>
      <c r="H97" s="90" t="inlineStr">
        <is>
          <t>Held</t>
        </is>
      </c>
      <c r="I97" s="84" t="inlineStr">
        <is>
          <t>Yes</t>
        </is>
      </c>
      <c r="J97" s="84" t="inlineStr">
        <is>
          <t>When Step 3b resolves to ball-in-dirt with runner(s) on, catcher blocking skill must influence WP/PB probability and runner advancement.</t>
        </is>
      </c>
      <c r="K97"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97" s="84" t="inlineStr">
        <is>
          <t>Phase 4 simulation loop scaffolding</t>
        </is>
      </c>
      <c r="M97" s="84" t="inlineStr">
        <is>
          <t>Forward-looking placeholder; do NOT ship standalone.</t>
        </is>
      </c>
    </row>
    <row r="98" ht="124.5" customHeight="1" s="47">
      <c r="A98" s="84" t="inlineStr">
        <is>
          <t>SIM-157</t>
        </is>
      </c>
      <c r="B98" s="84" t="inlineStr">
        <is>
          <t>Backfill legacy odds_hash + dedup pass on raw.game_odds</t>
        </is>
      </c>
      <c r="C98" s="84" t="inlineStr">
        <is>
          <t>Schema / ETL</t>
        </is>
      </c>
      <c r="D98" s="84" t="inlineStr">
        <is>
          <t>Improvement</t>
        </is>
      </c>
      <c r="E98" s="85" t="inlineStr">
        <is>
          <t>P1</t>
        </is>
      </c>
      <c r="F98" s="84" t="inlineStr">
        <is>
          <t>S (1–2 days)</t>
        </is>
      </c>
      <c r="G98" s="84" t="inlineStr">
        <is>
          <t>Data Engineer</t>
        </is>
      </c>
      <c r="H98" s="86" t="inlineStr">
        <is>
          <t>Shipped 2026-05-14 (sprint 2026-05-13)</t>
        </is>
      </c>
      <c r="I98" s="84" t="inlineStr">
        <is>
          <t>No</t>
        </is>
      </c>
      <c r="J98" s="84" t="inlineStr">
        <is>
          <t>SIM-092 added odds_hash + partial unique index but only enforces going forward. Pre-SIM-092 rows have NULL odds_hash and contain duplicates, inflating CLV row counts and slowing scans.</t>
        </is>
      </c>
      <c r="K98"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98" s="84" t="inlineStr">
        <is>
          <t>SIM-092 (column + index already shipped)</t>
        </is>
      </c>
      <c r="M98" s="84" t="inlineStr">
        <is>
          <t>Created 2026-05-08 from SIM-092 carry-forward. Renumbered from SIM-094 to avoid collision with the existing Phase 2 polish ticket.</t>
        </is>
      </c>
    </row>
    <row r="99" ht="135.75" customHeight="1" s="47">
      <c r="A99" s="84" t="inlineStr">
        <is>
          <t>SIM-158</t>
        </is>
      </c>
      <c r="B99" s="84" t="inlineStr">
        <is>
          <t>Run EXPLAIN ANALYZE acceptance gates for SIM-085 + SIM-089</t>
        </is>
      </c>
      <c r="C99" s="84" t="inlineStr">
        <is>
          <t>Performance</t>
        </is>
      </c>
      <c r="D99" s="84" t="inlineStr">
        <is>
          <t>Validation</t>
        </is>
      </c>
      <c r="E99" s="85" t="inlineStr">
        <is>
          <t>P1</t>
        </is>
      </c>
      <c r="F99" s="84" t="inlineStr">
        <is>
          <t>S (1–2 days)</t>
        </is>
      </c>
      <c r="G99" s="84" t="inlineStr">
        <is>
          <t>Performance Engineer</t>
        </is>
      </c>
      <c r="H99" s="86" t="inlineStr">
        <is>
          <t>Shipped 2026-05-14 (sprint 2026-05-13)</t>
        </is>
      </c>
      <c r="I99" s="84" t="inlineStr">
        <is>
          <t>No</t>
        </is>
      </c>
      <c r="J99" s="84" t="inlineStr">
        <is>
          <t>SIM-085 (composite situation index) and SIM-089 ((pitcher, season) partial index) shipped with their acceptance gates expressed but not executed — sandbox lacked a populated DB. Once a 2024 staging DB exists, run the gates and record results.</t>
        </is>
      </c>
      <c r="K99"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99" s="84" t="inlineStr">
        <is>
          <t>SIM-085, SIM-089, populated 2024 staging DB</t>
        </is>
      </c>
      <c r="M99" s="84" t="inlineStr">
        <is>
          <t>Created 2026-05-08 from PM acceptance review. Renumbered from SIM-095 to avoid collision with the existing pitch_pool incremental ticket.</t>
        </is>
      </c>
    </row>
    <row r="100" ht="79.5" customHeight="1" s="47">
      <c r="A100" s="84" t="inlineStr">
        <is>
          <t>SIM-159</t>
        </is>
      </c>
      <c r="B100" s="84" t="inlineStr">
        <is>
          <t>Tighten SIM-132 vig RNG so moneyline boundary test is no longer flaky</t>
        </is>
      </c>
      <c r="C100" s="84" t="inlineStr">
        <is>
          <t>Live Pipeline</t>
        </is>
      </c>
      <c r="D100" s="84" t="inlineStr">
        <is>
          <t>Bug</t>
        </is>
      </c>
      <c r="E100" s="85" t="inlineStr">
        <is>
          <t>P1</t>
        </is>
      </c>
      <c r="F100" s="84" t="inlineStr">
        <is>
          <t>S (&lt;1 day)</t>
        </is>
      </c>
      <c r="G100" s="84" t="inlineStr">
        <is>
          <t>Backend Developer</t>
        </is>
      </c>
      <c r="H100" s="86" t="inlineStr">
        <is>
          <t>Shipped 2026-05-14 (sprint 2026-05-13)</t>
        </is>
      </c>
      <c r="I100" s="84" t="inlineStr">
        <is>
          <t>No</t>
        </is>
      </c>
      <c r="J100" s="84" t="inlineStr">
        <is>
          <t>MockOddsAPI samples vig from rng.uniform(0.06, 0.10). Overround = 1 + vig/2 ∈ [1.030, 1.050]. Regression test asserts strict &gt; 1.03; for game_pk=12345 the inflation path produces 1.0286.</t>
        </is>
      </c>
      <c r="K100"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100" s="84" t="inlineStr">
        <is>
          <t>SIM-132 (already shipped)</t>
        </is>
      </c>
      <c r="M100" s="84" t="inlineStr">
        <is>
          <t>Created 2026-05-08 from PM acceptance review. Renumbered from SIM-096 to avoid collision with the existing async-models ticket.</t>
        </is>
      </c>
    </row>
    <row r="101" ht="34.5" customHeight="1" s="47">
      <c r="A101" s="91" t="inlineStr">
        <is>
          <t>SIM-160</t>
        </is>
      </c>
      <c r="B101" s="91" t="inlineStr">
        <is>
          <t>Verify raw.pitches.bat_side populated for all loaded seasons</t>
        </is>
      </c>
      <c r="C101" s="91" t="inlineStr">
        <is>
          <t>Schema / ETL</t>
        </is>
      </c>
      <c r="D101" s="91" t="inlineStr">
        <is>
          <t>Gap</t>
        </is>
      </c>
      <c r="E101" s="91" t="inlineStr">
        <is>
          <t>P2</t>
        </is>
      </c>
      <c r="F101" s="91" t="inlineStr">
        <is>
          <t>S (1–2 days)</t>
        </is>
      </c>
      <c r="G101" s="91" t="inlineStr">
        <is>
          <t>Data Engineer</t>
        </is>
      </c>
      <c r="H101" s="91" t="inlineStr">
        <is>
          <t>Open — Sprint 2026-05-20</t>
        </is>
      </c>
      <c r="I101" s="91" t="inlineStr">
        <is>
          <t>No</t>
        </is>
      </c>
      <c r="J101" s="91" t="inlineStr">
        <is>
          <t>SIM-042 ships SIM-051-aware but SIM-051's pull_relative_spray_angle formula requires bat_side to be non-NULL on every row. Confirm bat_side coverage on raw.pitches is ≥ 99 % for every loaded season and add a backfill/ETL fix if not.</t>
        </is>
      </c>
      <c r="K101" s="92" t="inlineStr">
        <is>
          <t>1. SELECT season, COUNT(*) FILTER (WHERE bat_side IS NULL), COUNT(*) FROM raw.pitches GROUP BY 1 reports ≤ 1 % NULLs per season.
2. If any season exceeds 1 %, file a follow-up data-quality ticket and pull bat_side from chadwick_register keyed on batter.
3. Document the result in docs/data_quality/2026-05-20-bat-side-coverage.md.</t>
        </is>
      </c>
      <c r="L101" s="91" t="inlineStr">
        <is>
          <t>Blocks SIM-051</t>
        </is>
      </c>
      <c r="M101" s="91" t="inlineStr">
        <is>
          <t>Generated as a SIM-042 follow-up at 2026-05-14 sprint close.</t>
        </is>
      </c>
    </row>
    <row r="102" ht="15" customHeight="1" s="47">
      <c r="A102" s="91" t="inlineStr">
        <is>
          <t>SIM-161</t>
        </is>
      </c>
      <c r="B102" s="91" t="inlineStr">
        <is>
          <t>Live EXPLAIN ANALYZE run for SIM-085 + SIM-089</t>
        </is>
      </c>
      <c r="C102" s="91" t="inlineStr">
        <is>
          <t>Performance</t>
        </is>
      </c>
      <c r="D102" s="91" t="inlineStr">
        <is>
          <t>Validation</t>
        </is>
      </c>
      <c r="E102" s="91" t="inlineStr">
        <is>
          <t>P1</t>
        </is>
      </c>
      <c r="F102" s="91" t="inlineStr">
        <is>
          <t>S (1–2 days)</t>
        </is>
      </c>
      <c r="G102" s="91" t="inlineStr">
        <is>
          <t>Performance Engineer</t>
        </is>
      </c>
      <c r="H102" s="91" t="inlineStr">
        <is>
          <t>Open — Sprint 2026-05-20</t>
        </is>
      </c>
      <c r="I102" s="91" t="inlineStr">
        <is>
          <t>Staging 2024 data load</t>
        </is>
      </c>
      <c r="J102" s="91" t="inlineStr">
        <is>
          <t>SIM-158 shipped the harness + acceptance doc placeholder; the live EXPLAIN ANALYZE round-trip was deferred because staging didn't yet hold 2024 data. Once staging is loaded, run the harness and capture the plans.</t>
        </is>
      </c>
      <c r="K102" s="92" t="inlineStr">
        <is>
          <t>1. scripts/run_index_acceptance.py exits 0 against staging.
2. Both gates pass per SIM-085 / SIM-089 acceptance criteria.
3. The Markdown report is committed to the repo.
4. If either gate fails, file a follow-up and revert the index claim from CHANGES.md per SIM-158 AC #4.</t>
        </is>
      </c>
      <c r="L102" s="91" t="inlineStr">
        <is>
          <t>SIM-158 (harness shipped)</t>
        </is>
      </c>
      <c r="M102" s="91" t="inlineStr">
        <is>
          <t>Generated as a SIM-158 follow-up at 2026-05-14 sprint close.</t>
        </is>
      </c>
    </row>
    <row r="103" ht="15" customHeight="1" s="47">
      <c r="A103" s="91" t="inlineStr">
        <is>
          <t>SIM-162</t>
        </is>
      </c>
      <c r="B103" s="91" t="inlineStr">
        <is>
          <t>Restore truncated LeagueAverageProfiles.compute() in player_profile_computor.py</t>
        </is>
      </c>
      <c r="C103" s="91" t="inlineStr">
        <is>
          <t>Bug Fix</t>
        </is>
      </c>
      <c r="D103" s="91" t="inlineStr">
        <is>
          <t>Bug</t>
        </is>
      </c>
      <c r="E103" s="91" t="inlineStr">
        <is>
          <t>P1</t>
        </is>
      </c>
      <c r="F103" s="91" t="inlineStr">
        <is>
          <t>S (1–2 days)</t>
        </is>
      </c>
      <c r="G103" s="91" t="inlineStr">
        <is>
          <t>Data Engineer</t>
        </is>
      </c>
      <c r="H103" s="91" t="inlineStr">
        <is>
          <t>Closed</t>
        </is>
      </c>
      <c r="I103" s="91" t="inlineStr">
        <is>
          <t>No</t>
        </is>
      </c>
      <c r="J103" s="91" t="inlineStr">
        <is>
          <t>pipeline/batch/player_profile_computor.py is truncated at line 3755 inside an unfinished LeagueAverageProfiles.compute() f-string. git show HEAD:.../player_profile_computor.py | wc -l returns 3745 lines with a clean ending; the working-tree file has a partial in-progress edit that corrupts the parse. Nothing in the catcher pipeline depends on this method (so SIM-073 shipped fine), but the module won't import as-is.</t>
        </is>
      </c>
      <c r="K103" s="92" t="inlineStr">
        <is>
          <t>1. python -c 'import ast; ast.parse(open("pipeline/batch/player_profile_computor.py").read())' exits 0.
2. Either finish the in-progress edits to LeagueAverageProfiles.compute() so it ships the league-average insert paths for pitcher/batter/fielder-by-position/baserunner/catcher entity types; OR revert the file's tail to upstream HEAD.
3. A unit test invokes LeagueAverageProfiles('...').compute([2024]) against an in-memory DuckDB and confirms every entity_type produces a non-empty row.</t>
        </is>
      </c>
      <c r="L103" s="91" t="inlineStr">
        <is>
          <t>None</t>
        </is>
      </c>
      <c r="M103" s="91" t="inlineStr">
        <is>
          <t>Raised during SIM-073 verification on 2026-05-14. Pre-existing local edit, not collateral from sprint 2026-05-13.</t>
        </is>
      </c>
    </row>
    <row r="104" ht="45.75" customHeight="1" s="47">
      <c r="A104" s="84" t="inlineStr">
        <is>
          <t>SIM-300</t>
        </is>
      </c>
      <c r="B104" s="84" t="inlineStr">
        <is>
          <t>Play-pool architecture spec (Phase 3 §10)</t>
        </is>
      </c>
      <c r="C104" s="84" t="inlineStr">
        <is>
          <t>Phase 3</t>
        </is>
      </c>
      <c r="D104" s="84" t="inlineStr">
        <is>
          <t>Spec</t>
        </is>
      </c>
      <c r="E104" s="85" t="inlineStr">
        <is>
          <t>P0</t>
        </is>
      </c>
      <c r="F104" s="84" t="inlineStr">
        <is>
          <t>M</t>
        </is>
      </c>
      <c r="G104" s="84" t="inlineStr">
        <is>
          <t>Backend Developer + ML Engineer</t>
        </is>
      </c>
      <c r="H104" s="89" t="inlineStr">
        <is>
          <t>Closed</t>
        </is>
      </c>
      <c r="I104" s="84" t="inlineStr">
        <is>
          <t>No</t>
        </is>
      </c>
      <c r="J104" s="84" t="inlineStr">
        <is>
          <t>Reconstructed play-pool architecture spec defining the pre-filter contract, FAISS sub-index materialization, recency lifecycle, the four-method PlayPoolSampler API, and the &lt;=2 GB RAM budget. Keystone that unblocks SIM-301/302.</t>
        </is>
      </c>
      <c r="K104" s="84" t="inlineStr">
        <is>
          <t>Doc lives at docs/architecture/2026-05-20-play-pool.md; defines the SIM-301/302 contract; &lt;=2 GB envelope.</t>
        </is>
      </c>
      <c r="L104" s="84" t="inlineStr">
        <is>
          <t>None</t>
        </is>
      </c>
      <c r="M104" s="84" t="inlineStr">
        <is>
          <t>Rebuilt 2026-05-20 after OneDrive truncation (HANDOFF §7). Sprint 2026-05-27.</t>
        </is>
      </c>
    </row>
    <row r="105" ht="79.5" customHeight="1" s="47">
      <c r="A105" s="84" t="inlineStr">
        <is>
          <t>SIM-301</t>
        </is>
      </c>
      <c r="B105" s="84" t="inlineStr">
        <is>
          <t>Play-pool nightly cache serializer (Phase 3 §10)</t>
        </is>
      </c>
      <c r="C105" s="84" t="inlineStr">
        <is>
          <t>Phase 3</t>
        </is>
      </c>
      <c r="D105" s="84" t="inlineStr">
        <is>
          <t>Feature</t>
        </is>
      </c>
      <c r="E105" s="85" t="inlineStr">
        <is>
          <t>P0</t>
        </is>
      </c>
      <c r="F105" s="84" t="inlineStr">
        <is>
          <t>M</t>
        </is>
      </c>
      <c r="G105" s="84" t="inlineStr">
        <is>
          <t>Backend Developer</t>
        </is>
      </c>
      <c r="H105" s="89" t="inlineStr">
        <is>
          <t>Closed</t>
        </is>
      </c>
      <c r="I105" s="84" t="inlineStr">
        <is>
          <t>No</t>
        </is>
      </c>
      <c r="J105" s="84" t="inlineStr">
        <is>
          <t>Materialize the pre-filtered FAISS indexes per (pitcher_id, batter_handedness) tile onto disk so the API can hot-load them at startup. Defined in docs/architecture/2026-05-20-play-pool.md §10.</t>
        </is>
      </c>
      <c r="K105" s="84" t="inlineStr">
        <is>
          <t>1. Serializer script lives in pipeline/batch/play_pool_cache.py.
2. Cache files written to /data/play_pool/&lt;season&gt;/&lt;pitcher_id&gt;/&lt;bat_hand&gt;.faiss.
3. Per-tile metadata (build timestamp, row count, recency boost flag) written as .meta JSON.
4. Nightly cron entry runs after profile computor.
5. Idempotent — re-runs only rebuild stale or missing tiles.</t>
        </is>
      </c>
      <c r="L105" s="84" t="inlineStr">
        <is>
          <t>SIM-300 spec</t>
        </is>
      </c>
      <c r="M105" s="84" t="inlineStr">
        <is>
          <t>First Phase 3 deliverable. Backend lead.</t>
        </is>
      </c>
    </row>
    <row r="106" ht="90.75" customHeight="1" s="47">
      <c r="A106" s="84" t="inlineStr">
        <is>
          <t>SIM-302</t>
        </is>
      </c>
      <c r="B106" s="84" t="inlineStr">
        <is>
          <t>PlayPoolSampler API surface (Phase 3 §11)</t>
        </is>
      </c>
      <c r="C106" s="84" t="inlineStr">
        <is>
          <t>Phase 3</t>
        </is>
      </c>
      <c r="D106" s="84" t="inlineStr">
        <is>
          <t>Feature</t>
        </is>
      </c>
      <c r="E106" s="85" t="inlineStr">
        <is>
          <t>P0</t>
        </is>
      </c>
      <c r="F106" s="84" t="inlineStr">
        <is>
          <t>M</t>
        </is>
      </c>
      <c r="G106" s="84" t="inlineStr">
        <is>
          <t>Backend Developer + ML Engineer</t>
        </is>
      </c>
      <c r="H106" s="89" t="inlineStr">
        <is>
          <t>Closed</t>
        </is>
      </c>
      <c r="I106" s="84" t="inlineStr">
        <is>
          <t>No</t>
        </is>
      </c>
      <c r="J106" s="84" t="inlineStr">
        <is>
          <t>Define and implement the four-method PlayPoolSampler class that the simulation loop will call. Hot-loads cached FAISS tiles and serves k-nearest queries with metadata.</t>
        </is>
      </c>
      <c r="K106" s="84" t="inlineStr">
        <is>
          <t>1. Class lives in simulation/play_pool_sampler.py.
2. Four methods: load_tile(), sample_pitch(), sample_batted_ball(), reload_recent().
3. Each call returns either a sampled row or a probability dict (e.g., outcome_distribution).
4. Unit tests with synthetic 1k-row tiles.
5. SIM-220 backtesting harness consumes this API as its data interface.</t>
        </is>
      </c>
      <c r="L106" s="84" t="inlineStr">
        <is>
          <t>SIM-301 cache files</t>
        </is>
      </c>
      <c r="M106" s="84" t="inlineStr">
        <is>
          <t>BE+ML joint lead.</t>
        </is>
      </c>
    </row>
    <row r="107" ht="57" customHeight="1" s="47">
      <c r="A107" s="84" t="inlineStr">
        <is>
          <t>SIM-202</t>
        </is>
      </c>
      <c r="B107" s="84" t="inlineStr">
        <is>
          <t>Centralize run-value constants in simulation/constants.py</t>
        </is>
      </c>
      <c r="C107" s="84" t="inlineStr">
        <is>
          <t>Phase 4 Prep</t>
        </is>
      </c>
      <c r="D107" s="84" t="inlineStr">
        <is>
          <t>Improvement</t>
        </is>
      </c>
      <c r="E107" s="85" t="inlineStr">
        <is>
          <t>P0</t>
        </is>
      </c>
      <c r="F107" s="84" t="inlineStr">
        <is>
          <t>S</t>
        </is>
      </c>
      <c r="G107" s="84" t="inlineStr">
        <is>
          <t>Baseball Analyst</t>
        </is>
      </c>
      <c r="H107" s="89" t="inlineStr">
        <is>
          <t>Closed</t>
        </is>
      </c>
      <c r="I107" s="84" t="inlineStr">
        <is>
          <t>No</t>
        </is>
      </c>
      <c r="J107" s="84" t="inlineStr">
        <is>
          <t>Run-value constants (single, double, HR, walk, K, etc.) are referenced by multiple modules but not centralized. Phase 4 sim loop will need a single source of truth.</t>
        </is>
      </c>
      <c r="K107" s="84" t="inlineStr">
        <is>
          <t>1. simulation/constants.py defines RUN_VALUES dict with Tango/Tom-style linear weights for 2024 baseline.
2. Sourced from Baseball Analyst review (cite source).
3. Replace inline constants throughout the codebase.
4. Unit test asserts dict has all 12 standard PA outcomes.</t>
        </is>
      </c>
      <c r="L107" s="84" t="inlineStr">
        <is>
          <t>None</t>
        </is>
      </c>
      <c r="M107" s="84" t="inlineStr">
        <is>
          <t>Trivial but prerequisite for Phase 4 cleanup.</t>
        </is>
      </c>
    </row>
    <row r="108" ht="68.25" customHeight="1" s="47">
      <c r="A108" s="84" t="inlineStr">
        <is>
          <t>SIM-280</t>
        </is>
      </c>
      <c r="B108" s="84" t="inlineStr">
        <is>
          <t>Per-engine RAM budget within 2 GB envelope</t>
        </is>
      </c>
      <c r="C108" s="84" t="inlineStr">
        <is>
          <t>Performance</t>
        </is>
      </c>
      <c r="D108" s="84" t="inlineStr">
        <is>
          <t>Gap</t>
        </is>
      </c>
      <c r="E108" s="85" t="inlineStr">
        <is>
          <t>P0</t>
        </is>
      </c>
      <c r="F108" s="84" t="inlineStr">
        <is>
          <t>S</t>
        </is>
      </c>
      <c r="G108" s="84" t="inlineStr">
        <is>
          <t>Performance Engineer</t>
        </is>
      </c>
      <c r="H108" s="89" t="inlineStr">
        <is>
          <t>Closed</t>
        </is>
      </c>
      <c r="I108" s="84" t="inlineStr">
        <is>
          <t>No</t>
        </is>
      </c>
      <c r="J108" s="84" t="inlineStr">
        <is>
          <t>Allocate RAM budget per engine + play-pool cache so total stays under SIM-114 2 GB envelope at all worker counts.</t>
        </is>
      </c>
      <c r="K108" s="84" t="inlineStr">
        <is>
          <t>1. Per-engine measured footprint table (Bytes-per-profile × cardinality).
2. Play-pool tile budget (Bytes-per-row × max active tiles).
3. Total budget summary against 2 GB cap with worker-count scaling.
4. Commit as docs/perf/2026-05-27-ram-budget.md.</t>
        </is>
      </c>
      <c r="L108" s="84" t="inlineStr">
        <is>
          <t>SIM-118 harness for measurement</t>
        </is>
      </c>
      <c r="M108" s="84" t="inlineStr">
        <is>
          <t>Required before SIM-301 cache sizing.</t>
        </is>
      </c>
    </row>
    <row r="109" ht="90.75" customHeight="1" s="47">
      <c r="A109" s="84" t="inlineStr">
        <is>
          <t>SIM-281</t>
        </is>
      </c>
      <c r="B109" s="84" t="inlineStr">
        <is>
          <t>ProcessPoolExecutor + shared-memory architecture decision</t>
        </is>
      </c>
      <c r="C109" s="84" t="inlineStr">
        <is>
          <t>Performance</t>
        </is>
      </c>
      <c r="D109" s="84" t="inlineStr">
        <is>
          <t>Gap</t>
        </is>
      </c>
      <c r="E109" s="85" t="inlineStr">
        <is>
          <t>P0</t>
        </is>
      </c>
      <c r="F109" s="84" t="inlineStr">
        <is>
          <t>S</t>
        </is>
      </c>
      <c r="G109" s="84" t="inlineStr">
        <is>
          <t>Performance Engineer</t>
        </is>
      </c>
      <c r="H109" s="89" t="inlineStr">
        <is>
          <t>Closed</t>
        </is>
      </c>
      <c r="I109" s="84" t="inlineStr">
        <is>
          <t>No</t>
        </is>
      </c>
      <c r="J109" s="84" t="inlineStr">
        <is>
          <t>Lock the Phase 4 parallelism model — workers, shared memory layout, FAISS index sharing strategy.</t>
        </is>
      </c>
      <c r="K109" s="84" t="inlineStr">
        <is>
          <t>1. ADR-style decision doc at docs/architecture/2026-05-27-parallelism.md.
2. ProcessPoolExecutor vs Ray vs Dask: pick one with rationale.
3. multiprocessing.shared_memory layout for FAISS indexes (zero-copy attach).
4. Worker startup sequence and tile-load timing.
5. PM sign-off before Phase 4 begins.</t>
        </is>
      </c>
      <c r="L109" s="84" t="inlineStr">
        <is>
          <t>SIM-280 budget</t>
        </is>
      </c>
      <c r="M109" s="84" t="inlineStr">
        <is>
          <t>Locks the Phase 4 parallelism model.</t>
        </is>
      </c>
    </row>
    <row r="110" ht="34.5" customHeight="1" s="47">
      <c r="A110" s="84" t="inlineStr">
        <is>
          <t>SIM-303</t>
        </is>
      </c>
      <c r="B110" s="84" t="inlineStr">
        <is>
          <t>Wire PlayPoolSampler into Phase 4 simulation-loop scaffold</t>
        </is>
      </c>
      <c r="C110" s="84" t="inlineStr">
        <is>
          <t>Phase 3</t>
        </is>
      </c>
      <c r="D110" s="84" t="inlineStr">
        <is>
          <t>Feature</t>
        </is>
      </c>
      <c r="E110" s="85" t="inlineStr">
        <is>
          <t>P0</t>
        </is>
      </c>
      <c r="F110" s="84" t="inlineStr">
        <is>
          <t>M</t>
        </is>
      </c>
      <c r="G110" s="84" t="inlineStr">
        <is>
          <t>Backend Developer</t>
        </is>
      </c>
      <c r="H110" s="89" t="inlineStr">
        <is>
          <t>Closed</t>
        </is>
      </c>
      <c r="I110" s="84" t="inlineStr">
        <is>
          <t>No</t>
        </is>
      </c>
      <c r="J110" s="84" t="inlineStr">
        <is>
          <t>Wire the SIM-302 PlayPoolSampler into a minimal simulation-loop scaffold the Phase 4 loop will flesh out; completes Phase 3.</t>
        </is>
      </c>
      <c r="K110" s="84" t="inlineStr">
        <is>
          <t>simulation/sim_loop.py PlateAppearanceSimulator calls sample_pitch/sample_batted_ball; integration test on real tiles.</t>
        </is>
      </c>
      <c r="L110" s="84" t="inlineStr">
        <is>
          <t>SIM-302</t>
        </is>
      </c>
      <c r="M110" s="84" t="inlineStr">
        <is>
          <t>Phase 3 completion. Sprint 2026-06-03.</t>
        </is>
      </c>
    </row>
    <row r="111" ht="23.85" customHeight="1" s="47">
      <c r="A111" s="84" t="inlineStr">
        <is>
          <t>SIM-310</t>
        </is>
      </c>
      <c r="B111" s="84" t="inlineStr">
        <is>
          <t>Canonical Phase 4 simulation-loop spec (8 steps, fingerprints, terminal logic)</t>
        </is>
      </c>
      <c r="C111" s="84" t="inlineStr">
        <is>
          <t>Phase 4</t>
        </is>
      </c>
      <c r="D111" s="84" t="inlineStr">
        <is>
          <t>Spec</t>
        </is>
      </c>
      <c r="E111" s="85" t="inlineStr">
        <is>
          <t>P0</t>
        </is>
      </c>
      <c r="F111" s="84" t="inlineStr">
        <is>
          <t>M (3–5 days)</t>
        </is>
      </c>
      <c r="G111" s="84" t="inlineStr">
        <is>
          <t>Backend Developer + Baseball Analyst</t>
        </is>
      </c>
      <c r="H111" s="89" t="inlineStr">
        <is>
          <t>Open</t>
        </is>
      </c>
      <c r="I111" s="84" t="inlineStr">
        <is>
          <t>No</t>
        </is>
      </c>
      <c r="J111" s="84" t="inlineStr">
        <is>
          <t>Canonical Phase 4 simulation-loop spec (8 steps, fingerprints, terminal logic)</t>
        </is>
      </c>
      <c r="K111" s="84" t="inlineStr">
        <is>
          <t>See docs/audit/2026-06-10-phase4-prioritized-tickets.md</t>
        </is>
      </c>
      <c r="L111" s="84" t="inlineStr">
        <is>
          <t>None</t>
        </is>
      </c>
      <c r="M111" s="84" t="inlineStr">
        <is>
          <t>P0 gate; reconciles README vs SIM-119 step ordering.</t>
        </is>
      </c>
    </row>
    <row r="112" ht="23.85" customHeight="1" s="47">
      <c r="A112" s="84" t="inlineStr">
        <is>
          <t>SIM-311</t>
        </is>
      </c>
      <c r="B112" s="84" t="inlineStr">
        <is>
          <t>GameState + PlayResult dataclass contract</t>
        </is>
      </c>
      <c r="C112" s="84" t="inlineStr">
        <is>
          <t>Phase 4</t>
        </is>
      </c>
      <c r="D112" s="84" t="inlineStr">
        <is>
          <t>Spec</t>
        </is>
      </c>
      <c r="E112" s="85" t="inlineStr">
        <is>
          <t>P0</t>
        </is>
      </c>
      <c r="F112" s="84" t="inlineStr">
        <is>
          <t>M (3–5 days)</t>
        </is>
      </c>
      <c r="G112" s="84" t="inlineStr">
        <is>
          <t>Backend Developer + Data Engineer</t>
        </is>
      </c>
      <c r="H112" s="89" t="inlineStr">
        <is>
          <t>Open</t>
        </is>
      </c>
      <c r="I112" s="84" t="inlineStr">
        <is>
          <t>Yes</t>
        </is>
      </c>
      <c r="J112" s="84" t="inlineStr">
        <is>
          <t>GameState + PlayResult dataclass contract</t>
        </is>
      </c>
      <c r="K112" s="84" t="inlineStr">
        <is>
          <t>See docs/audit/2026-06-10-phase4-prioritized-tickets.md</t>
        </is>
      </c>
      <c r="L112" s="84" t="inlineStr">
        <is>
          <t>SIM-310</t>
        </is>
      </c>
      <c r="M112" s="84" t="inlineStr">
        <is>
          <t>Mutable per-pitch state; gates all loop steps.</t>
        </is>
      </c>
    </row>
    <row r="113" ht="23.85" customHeight="1" s="47">
      <c r="A113" s="84" t="inlineStr">
        <is>
          <t>SIM-312</t>
        </is>
      </c>
      <c r="B113" s="84" t="inlineStr">
        <is>
          <t>Fix RUN_VALUES&lt;-&gt;Statcast events vocabulary mismatch + run-resolution policy</t>
        </is>
      </c>
      <c r="C113" s="84" t="inlineStr">
        <is>
          <t>Phase 4</t>
        </is>
      </c>
      <c r="D113" s="84" t="inlineStr">
        <is>
          <t>Bug</t>
        </is>
      </c>
      <c r="E113" s="85" t="inlineStr">
        <is>
          <t>P0</t>
        </is>
      </c>
      <c r="F113" s="84" t="inlineStr">
        <is>
          <t>M (3–5 days)</t>
        </is>
      </c>
      <c r="G113" s="84" t="inlineStr">
        <is>
          <t>Baseball Analyst + Backend Developer</t>
        </is>
      </c>
      <c r="H113" s="89" t="inlineStr">
        <is>
          <t>Open</t>
        </is>
      </c>
      <c r="I113" s="84" t="inlineStr">
        <is>
          <t>No</t>
        </is>
      </c>
      <c r="J113" s="84" t="inlineStr">
        <is>
          <t>Fix RUN_VALUES&lt;-&gt;Statcast events vocabulary mismatch + run-resolution policy</t>
        </is>
      </c>
      <c r="K113" s="84" t="inlineStr">
        <is>
          <t>See docs/audit/2026-06-10-phase4-prioritized-tickets.md</t>
        </is>
      </c>
      <c r="L113" s="84" t="inlineStr">
        <is>
          <t>None</t>
        </is>
      </c>
      <c r="M113" s="84" t="inlineStr">
        <is>
          <t>BUG: get(event,0.0) silently 0.0 for common outs; use result_* deltas + RE24.</t>
        </is>
      </c>
    </row>
    <row r="114" ht="23.85" customHeight="1" s="47">
      <c r="A114" s="84" t="inlineStr">
        <is>
          <t>SIM-313</t>
        </is>
      </c>
      <c r="B114" s="84" t="inlineStr">
        <is>
          <t>Wire recency_weight into PlayPoolSampler distance-weight</t>
        </is>
      </c>
      <c r="C114" s="84" t="inlineStr">
        <is>
          <t>Phase 4</t>
        </is>
      </c>
      <c r="D114" s="84" t="inlineStr">
        <is>
          <t>Bug</t>
        </is>
      </c>
      <c r="E114" s="85" t="inlineStr">
        <is>
          <t>P0</t>
        </is>
      </c>
      <c r="F114" s="84" t="inlineStr">
        <is>
          <t>S (1–2 days)</t>
        </is>
      </c>
      <c r="G114" s="84" t="inlineStr">
        <is>
          <t>ML Engineer + Backend Developer</t>
        </is>
      </c>
      <c r="H114" s="89" t="inlineStr">
        <is>
          <t>Open</t>
        </is>
      </c>
      <c r="I114" s="84" t="inlineStr">
        <is>
          <t>No</t>
        </is>
      </c>
      <c r="J114" s="84" t="inlineStr">
        <is>
          <t>Wire recency_weight into PlayPoolSampler distance-weight</t>
        </is>
      </c>
      <c r="K114" s="84" t="inlineStr">
        <is>
          <t>See docs/audit/2026-06-10-phase4-prioritized-tickets.md</t>
        </is>
      </c>
      <c r="L114" s="84" t="inlineStr">
        <is>
          <t>None</t>
        </is>
      </c>
      <c r="M114" s="84" t="inlineStr">
        <is>
          <t>BUG: sampler ignores recency_weight despite SIM-111 §8 contract.</t>
        </is>
      </c>
    </row>
    <row r="115" ht="23.85" customHeight="1" s="47">
      <c r="A115" s="84" t="inlineStr">
        <is>
          <t>SIM-314</t>
        </is>
      </c>
      <c r="B115" s="84" t="inlineStr">
        <is>
          <t>Resolve SIM-200/201 ID collision (manager logic vs catcher framing/blocking)</t>
        </is>
      </c>
      <c r="C115" s="84" t="inlineStr">
        <is>
          <t>Phase 4</t>
        </is>
      </c>
      <c r="D115" s="84" t="inlineStr">
        <is>
          <t>Gap</t>
        </is>
      </c>
      <c r="E115" s="85" t="inlineStr">
        <is>
          <t>P0</t>
        </is>
      </c>
      <c r="F115" s="84" t="inlineStr">
        <is>
          <t>S (1–2 days)</t>
        </is>
      </c>
      <c r="G115" s="84" t="inlineStr">
        <is>
          <t>Product Manager</t>
        </is>
      </c>
      <c r="H115" s="89" t="inlineStr">
        <is>
          <t>Open</t>
        </is>
      </c>
      <c r="I115" s="84" t="inlineStr">
        <is>
          <t>No</t>
        </is>
      </c>
      <c r="J115" s="84" t="inlineStr">
        <is>
          <t>Resolve SIM-200/201 ID collision (manager logic vs catcher framing/blocking)</t>
        </is>
      </c>
      <c r="K115" s="84" t="inlineStr">
        <is>
          <t>See docs/audit/2026-06-10-phase4-prioritized-tickets.md</t>
        </is>
      </c>
      <c r="L115" s="84" t="inlineStr">
        <is>
          <t>None</t>
        </is>
      </c>
      <c r="M115" s="84" t="inlineStr">
        <is>
          <t>One ID maps to two tickets; corrupts dep graph.</t>
        </is>
      </c>
    </row>
    <row r="116" ht="23.85" customHeight="1" s="47">
      <c r="A116" s="84" t="inlineStr">
        <is>
          <t>SIM-315</t>
        </is>
      </c>
      <c r="B116" s="84" t="inlineStr">
        <is>
          <t>Move repo off OneDrive / pre-commit file-integrity guard</t>
        </is>
      </c>
      <c r="C116" s="84" t="inlineStr">
        <is>
          <t>Phase 4</t>
        </is>
      </c>
      <c r="D116" s="84" t="inlineStr">
        <is>
          <t>Infra</t>
        </is>
      </c>
      <c r="E116" s="85" t="inlineStr">
        <is>
          <t>P0</t>
        </is>
      </c>
      <c r="F116" s="84" t="inlineStr">
        <is>
          <t>M (3–5 days)</t>
        </is>
      </c>
      <c r="G116" s="84" t="inlineStr">
        <is>
          <t>QA/DevOps</t>
        </is>
      </c>
      <c r="H116" s="89" t="inlineStr">
        <is>
          <t>Closed</t>
        </is>
      </c>
      <c r="I116" s="84" t="inlineStr">
        <is>
          <t>No</t>
        </is>
      </c>
      <c r="J116" s="84" t="inlineStr">
        <is>
          <t>Move repo off OneDrive / pre-commit file-integrity guard</t>
        </is>
      </c>
      <c r="K116" s="84" t="inlineStr">
        <is>
          <t>See docs/audit/2026-06-10-phase4-prioritized-tickets.md</t>
        </is>
      </c>
      <c r="L116" s="84" t="inlineStr">
        <is>
          <t>None</t>
        </is>
      </c>
      <c r="M116" s="84" t="inlineStr">
        <is>
          <t>Truncation corrupts the working tree (git unusable). | Closed 2026-05-24 (Phase 5 Sprint 1): scripts/check_file_integrity.py + pre-commit + CI job.</t>
        </is>
      </c>
    </row>
    <row r="117" ht="23.85" customHeight="1" s="47">
      <c r="A117" s="84" t="inlineStr">
        <is>
          <t>SIM-316</t>
        </is>
      </c>
      <c r="B117" s="84" t="inlineStr">
        <is>
          <t>GameState manager + count/out/base/inning state machine + invalid-state guards</t>
        </is>
      </c>
      <c r="C117" s="84" t="inlineStr">
        <is>
          <t>Phase 4</t>
        </is>
      </c>
      <c r="D117" s="84" t="inlineStr">
        <is>
          <t>Feature</t>
        </is>
      </c>
      <c r="E117" s="85" t="inlineStr">
        <is>
          <t>P1</t>
        </is>
      </c>
      <c r="F117" s="84" t="inlineStr">
        <is>
          <t>M (3–5 days)</t>
        </is>
      </c>
      <c r="G117" s="84" t="inlineStr">
        <is>
          <t>Backend Developer</t>
        </is>
      </c>
      <c r="H117" s="89" t="inlineStr">
        <is>
          <t>Open</t>
        </is>
      </c>
      <c r="I117" s="84" t="inlineStr">
        <is>
          <t>Yes</t>
        </is>
      </c>
      <c r="J117" s="84" t="inlineStr">
        <is>
          <t>GameState manager + count/out/base/inning state machine + invalid-state guards</t>
        </is>
      </c>
      <c r="K117" s="84" t="inlineStr">
        <is>
          <t>See docs/audit/2026-06-10-phase4-prioritized-tickets.md</t>
        </is>
      </c>
      <c r="L117" s="84" t="inlineStr">
        <is>
          <t>SIM-311</t>
        </is>
      </c>
      <c r="M117" s="84" t="inlineStr">
        <is>
          <t>Replaces throwaway PitchState.</t>
        </is>
      </c>
    </row>
    <row r="118" ht="23.85" customHeight="1" s="47">
      <c r="A118" s="84" t="inlineStr">
        <is>
          <t>SIM-317</t>
        </is>
      </c>
      <c r="B118" s="84" t="inlineStr">
        <is>
          <t>Real query-fingerprint derivation via engines/registry (SIM-041/042)</t>
        </is>
      </c>
      <c r="C118" s="84" t="inlineStr">
        <is>
          <t>Phase 4</t>
        </is>
      </c>
      <c r="D118" s="84" t="inlineStr">
        <is>
          <t>Feature</t>
        </is>
      </c>
      <c r="E118" s="85" t="inlineStr">
        <is>
          <t>P1</t>
        </is>
      </c>
      <c r="F118" s="84" t="inlineStr">
        <is>
          <t>M (3–5 days)</t>
        </is>
      </c>
      <c r="G118" s="84" t="inlineStr">
        <is>
          <t>Backend Developer + ML Engineer</t>
        </is>
      </c>
      <c r="H118" s="89" t="inlineStr">
        <is>
          <t>Open</t>
        </is>
      </c>
      <c r="I118" s="84" t="inlineStr">
        <is>
          <t>Yes</t>
        </is>
      </c>
      <c r="J118" s="84" t="inlineStr">
        <is>
          <t>Real query-fingerprint derivation via engines/registry (SIM-041/042)</t>
        </is>
      </c>
      <c r="K118" s="84" t="inlineStr">
        <is>
          <t>See docs/audit/2026-06-10-phase4-prioritized-tickets.md</t>
        </is>
      </c>
      <c r="L118" s="84" t="inlineStr">
        <is>
          <t>SIM-311</t>
        </is>
      </c>
      <c r="M118" s="84" t="inlineStr">
        <is>
          <t>Replace stub-hash fingerprints.</t>
        </is>
      </c>
    </row>
    <row r="119" ht="23.85" customHeight="1" s="47">
      <c r="A119" s="84" t="inlineStr">
        <is>
          <t>SIM-318</t>
        </is>
      </c>
      <c r="B119" s="84" t="inlineStr">
        <is>
          <t>Outcome determination + SIM-056 count-foul re-weight + two-strike-foul rule</t>
        </is>
      </c>
      <c r="C119" s="84" t="inlineStr">
        <is>
          <t>Phase 4</t>
        </is>
      </c>
      <c r="D119" s="84" t="inlineStr">
        <is>
          <t>Feature</t>
        </is>
      </c>
      <c r="E119" s="85" t="inlineStr">
        <is>
          <t>P1</t>
        </is>
      </c>
      <c r="F119" s="84" t="inlineStr">
        <is>
          <t>M (3–5 days)</t>
        </is>
      </c>
      <c r="G119" s="84" t="inlineStr">
        <is>
          <t>Backend Developer + Baseball Analyst</t>
        </is>
      </c>
      <c r="H119" s="89" t="inlineStr">
        <is>
          <t>Open</t>
        </is>
      </c>
      <c r="I119" s="84" t="inlineStr">
        <is>
          <t>Yes</t>
        </is>
      </c>
      <c r="J119" s="84" t="inlineStr">
        <is>
          <t>Outcome determination + SIM-056 count-foul re-weight + two-strike-foul rule</t>
        </is>
      </c>
      <c r="K119" s="84" t="inlineStr">
        <is>
          <t>See docs/audit/2026-06-10-phase4-prioritized-tickets.md</t>
        </is>
      </c>
      <c r="L119" s="84" t="inlineStr">
        <is>
          <t>SIM-316, SIM-317</t>
        </is>
      </c>
      <c r="M119" s="84" t="inlineStr">
        <is>
          <t>Hosts the SIM-056 design.</t>
        </is>
      </c>
    </row>
    <row r="120" ht="23.85" customHeight="1" s="47">
      <c r="A120" s="84" t="inlineStr">
        <is>
          <t>SIM-319</t>
        </is>
      </c>
      <c r="B120" s="84" t="inlineStr">
        <is>
          <t>Fielding + baserunning resolution + steal decision/outcome</t>
        </is>
      </c>
      <c r="C120" s="84" t="inlineStr">
        <is>
          <t>Phase 4</t>
        </is>
      </c>
      <c r="D120" s="84" t="inlineStr">
        <is>
          <t>Feature</t>
        </is>
      </c>
      <c r="E120" s="85" t="inlineStr">
        <is>
          <t>P1</t>
        </is>
      </c>
      <c r="F120" s="84" t="inlineStr">
        <is>
          <t>L (1–2 weeks)</t>
        </is>
      </c>
      <c r="G120" s="84" t="inlineStr">
        <is>
          <t>Backend Developer + ML Engineer</t>
        </is>
      </c>
      <c r="H120" s="89" t="inlineStr">
        <is>
          <t>Open</t>
        </is>
      </c>
      <c r="I120" s="84" t="inlineStr">
        <is>
          <t>Yes</t>
        </is>
      </c>
      <c r="J120" s="84" t="inlineStr">
        <is>
          <t>Fielding + baserunning resolution + steal decision/outcome</t>
        </is>
      </c>
      <c r="K120" s="84" t="inlineStr">
        <is>
          <t>See docs/audit/2026-06-10-phase4-prioritized-tickets.md</t>
        </is>
      </c>
      <c r="L120" s="84" t="inlineStr">
        <is>
          <t>SIM-316, SIM-317</t>
        </is>
      </c>
      <c r="M120" s="84" t="inlineStr">
        <is>
          <t>RBF engines + result_* deltas; stolen_base_pool.</t>
        </is>
      </c>
    </row>
    <row r="121" ht="23.85" customHeight="1" s="47">
      <c r="A121" s="84" t="inlineStr">
        <is>
          <t>SIM-320</t>
        </is>
      </c>
      <c r="B121" s="84" t="inlineStr">
        <is>
          <t>Half-inning + game loop control + simulate_game() entry point</t>
        </is>
      </c>
      <c r="C121" s="84" t="inlineStr">
        <is>
          <t>Phase 4</t>
        </is>
      </c>
      <c r="D121" s="84" t="inlineStr">
        <is>
          <t>Feature</t>
        </is>
      </c>
      <c r="E121" s="85" t="inlineStr">
        <is>
          <t>P1</t>
        </is>
      </c>
      <c r="F121" s="84" t="inlineStr">
        <is>
          <t>M (3–5 days)</t>
        </is>
      </c>
      <c r="G121" s="84" t="inlineStr">
        <is>
          <t>Backend Developer</t>
        </is>
      </c>
      <c r="H121" s="89" t="inlineStr">
        <is>
          <t>Open</t>
        </is>
      </c>
      <c r="I121" s="84" t="inlineStr">
        <is>
          <t>Yes</t>
        </is>
      </c>
      <c r="J121" s="84" t="inlineStr">
        <is>
          <t>Half-inning + game loop control + simulate_game() entry point</t>
        </is>
      </c>
      <c r="K121" s="84" t="inlineStr">
        <is>
          <t>See docs/audit/2026-06-10-phase4-prioritized-tickets.md</t>
        </is>
      </c>
      <c r="L121" s="84" t="inlineStr">
        <is>
          <t>SIM-318, SIM-319</t>
        </is>
      </c>
      <c r="M121" s="84" t="inlineStr">
        <is>
          <t>Unblocks SIM-120.</t>
        </is>
      </c>
    </row>
    <row r="122" ht="23.85" customHeight="1" s="47">
      <c r="A122" s="84" t="inlineStr">
        <is>
          <t>SIM-321</t>
        </is>
      </c>
      <c r="B122" s="84" t="inlineStr">
        <is>
          <t>Cross-engine score-fusion spec + module</t>
        </is>
      </c>
      <c r="C122" s="84" t="inlineStr">
        <is>
          <t>Phase 4</t>
        </is>
      </c>
      <c r="D122" s="84" t="inlineStr">
        <is>
          <t>Design</t>
        </is>
      </c>
      <c r="E122" s="85" t="inlineStr">
        <is>
          <t>P1</t>
        </is>
      </c>
      <c r="F122" s="84" t="inlineStr">
        <is>
          <t>L (1–2 weeks)</t>
        </is>
      </c>
      <c r="G122" s="84" t="inlineStr">
        <is>
          <t>ML Engineer + Backend Developer</t>
        </is>
      </c>
      <c r="H122" s="89" t="inlineStr">
        <is>
          <t>Open</t>
        </is>
      </c>
      <c r="I122" s="84" t="inlineStr">
        <is>
          <t>Yes</t>
        </is>
      </c>
      <c r="J122" s="84" t="inlineStr">
        <is>
          <t>Cross-engine score-fusion spec + module</t>
        </is>
      </c>
      <c r="K122" s="84" t="inlineStr">
        <is>
          <t>See docs/audit/2026-06-10-phase4-prioritized-tickets.md</t>
        </is>
      </c>
      <c r="L122" s="84" t="inlineStr">
        <is>
          <t>SIM-310</t>
        </is>
      </c>
      <c r="M122" s="84" t="inlineStr">
        <is>
          <t>Combine 11 engines into one per-pitch draw.</t>
        </is>
      </c>
    </row>
    <row r="123" ht="23.85" customHeight="1" s="47">
      <c r="A123" s="84" t="inlineStr">
        <is>
          <t>SIM-322</t>
        </is>
      </c>
      <c r="B123" s="84" t="inlineStr">
        <is>
          <t>Fix GMM covariance double-standardization</t>
        </is>
      </c>
      <c r="C123" s="84" t="inlineStr">
        <is>
          <t>Phase 4</t>
        </is>
      </c>
      <c r="D123" s="84" t="inlineStr">
        <is>
          <t>Bug</t>
        </is>
      </c>
      <c r="E123" s="85" t="inlineStr">
        <is>
          <t>P1</t>
        </is>
      </c>
      <c r="F123" s="84" t="inlineStr">
        <is>
          <t>S (1–2 days)</t>
        </is>
      </c>
      <c r="G123" s="84" t="inlineStr">
        <is>
          <t>ML Engineer</t>
        </is>
      </c>
      <c r="H123" s="89" t="inlineStr">
        <is>
          <t>Open</t>
        </is>
      </c>
      <c r="I123" s="84" t="inlineStr">
        <is>
          <t>No</t>
        </is>
      </c>
      <c r="J123" s="84" t="inlineStr">
        <is>
          <t>Fix GMM covariance double-standardization</t>
        </is>
      </c>
      <c r="K123" s="84" t="inlineStr">
        <is>
          <t>See docs/audit/2026-06-10-phase4-prioritized-tickets.md</t>
        </is>
      </c>
      <c r="L123" s="84" t="inlineStr">
        <is>
          <t>None</t>
        </is>
      </c>
      <c r="M123" s="84" t="inlineStr">
        <is>
          <t>BUG: mean original-units vs covariance standardized twice.</t>
        </is>
      </c>
    </row>
    <row r="124" ht="23.85" customHeight="1" s="47">
      <c r="A124" s="84" t="inlineStr">
        <is>
          <t>SIM-323</t>
        </is>
      </c>
      <c r="B124" s="84" t="inlineStr">
        <is>
          <t>Manager decision-logic spec + module (real SIM-201 manager scope)</t>
        </is>
      </c>
      <c r="C124" s="84" t="inlineStr">
        <is>
          <t>Phase 4</t>
        </is>
      </c>
      <c r="D124" s="84" t="inlineStr">
        <is>
          <t>Gap</t>
        </is>
      </c>
      <c r="E124" s="85" t="inlineStr">
        <is>
          <t>P1</t>
        </is>
      </c>
      <c r="F124" s="84" t="inlineStr">
        <is>
          <t>L (1–2 weeks)</t>
        </is>
      </c>
      <c r="G124" s="84" t="inlineStr">
        <is>
          <t>Baseball Analyst + Backend Developer</t>
        </is>
      </c>
      <c r="H124" s="89" t="inlineStr">
        <is>
          <t>Open</t>
        </is>
      </c>
      <c r="I124" s="84" t="inlineStr">
        <is>
          <t>Yes</t>
        </is>
      </c>
      <c r="J124" s="84" t="inlineStr">
        <is>
          <t>Manager decision-logic spec + module (real SIM-201 manager scope)</t>
        </is>
      </c>
      <c r="K124" s="84" t="inlineStr">
        <is>
          <t>See docs/audit/2026-06-10-phase4-prioritized-tickets.md</t>
        </is>
      </c>
      <c r="L124" s="84" t="inlineStr">
        <is>
          <t>SIM-312</t>
        </is>
      </c>
      <c r="M124" s="84" t="inlineStr">
        <is>
          <t>Pull/pinch-hit/bullpen-by-leverage/bunt from tendencies.</t>
        </is>
      </c>
    </row>
    <row r="125" ht="23.85" customHeight="1" s="47">
      <c r="A125" s="84" t="inlineStr">
        <is>
          <t>SIM-220</t>
        </is>
      </c>
      <c r="B125" s="84" t="inlineStr">
        <is>
          <t>Backtesting framework — walk-forward ECE/Brier/log-loss + ablation vs league-average</t>
        </is>
      </c>
      <c r="C125" s="84" t="inlineStr">
        <is>
          <t>Phase 4</t>
        </is>
      </c>
      <c r="D125" s="84" t="inlineStr">
        <is>
          <t>Feature</t>
        </is>
      </c>
      <c r="E125" s="85" t="inlineStr">
        <is>
          <t>P1</t>
        </is>
      </c>
      <c r="F125" s="84" t="inlineStr">
        <is>
          <t>L (1–2 weeks)</t>
        </is>
      </c>
      <c r="G125" s="84" t="inlineStr">
        <is>
          <t>ML Engineer + Betting Analyst</t>
        </is>
      </c>
      <c r="H125" s="89" t="inlineStr">
        <is>
          <t>Open</t>
        </is>
      </c>
      <c r="I125" s="84" t="inlineStr">
        <is>
          <t>Yes</t>
        </is>
      </c>
      <c r="J125" s="84" t="inlineStr">
        <is>
          <t>Backtesting framework — walk-forward ECE/Brier/log-loss + ablation vs league-average</t>
        </is>
      </c>
      <c r="K125" s="84" t="inlineStr">
        <is>
          <t>See docs/audit/2026-06-10-phase4-prioritized-tickets.md</t>
        </is>
      </c>
      <c r="L125" s="84" t="inlineStr">
        <is>
          <t>SIM-320</t>
        </is>
      </c>
      <c r="M125" s="84" t="inlineStr">
        <is>
          <t>Gold-standard validation; only recency harness exists today.</t>
        </is>
      </c>
    </row>
    <row r="126" ht="23.85" customHeight="1" s="47">
      <c r="A126" s="84" t="inlineStr">
        <is>
          <t>SIM-324</t>
        </is>
      </c>
      <c r="B126" s="84" t="inlineStr">
        <is>
          <t>Phase 4 baseball sniff-test suite (run env, platoon, P/PA, RE24)</t>
        </is>
      </c>
      <c r="C126" s="84" t="inlineStr">
        <is>
          <t>Phase 4</t>
        </is>
      </c>
      <c r="D126" s="84" t="inlineStr">
        <is>
          <t>Validation</t>
        </is>
      </c>
      <c r="E126" s="85" t="inlineStr">
        <is>
          <t>P1</t>
        </is>
      </c>
      <c r="F126" s="84" t="inlineStr">
        <is>
          <t>M (3–5 days)</t>
        </is>
      </c>
      <c r="G126" s="84" t="inlineStr">
        <is>
          <t>Baseball Analyst + QA/DevOps</t>
        </is>
      </c>
      <c r="H126" s="89" t="inlineStr">
        <is>
          <t>Open</t>
        </is>
      </c>
      <c r="I126" s="84" t="inlineStr">
        <is>
          <t>Yes</t>
        </is>
      </c>
      <c r="J126" s="84" t="inlineStr">
        <is>
          <t>Phase 4 baseball sniff-test suite (run env, platoon, P/PA, RE24)</t>
        </is>
      </c>
      <c r="K126" s="84" t="inlineStr">
        <is>
          <t>See docs/audit/2026-06-10-phase4-prioritized-tickets.md</t>
        </is>
      </c>
      <c r="L126" s="84" t="inlineStr">
        <is>
          <t>SIM-320</t>
        </is>
      </c>
      <c r="M126" s="84" t="inlineStr">
        <is>
          <t>Pre-backtest gates.</t>
        </is>
      </c>
    </row>
    <row r="127" ht="23.85" customHeight="1" s="47">
      <c r="A127" s="84" t="inlineStr">
        <is>
          <t>SIM-325</t>
        </is>
      </c>
      <c r="B127" s="84" t="inlineStr">
        <is>
          <t>E2E integration test: replay games, chi-squared run distributions (p&gt;0.05)</t>
        </is>
      </c>
      <c r="C127" s="84" t="inlineStr">
        <is>
          <t>Phase 4</t>
        </is>
      </c>
      <c r="D127" s="84" t="inlineStr">
        <is>
          <t>Test</t>
        </is>
      </c>
      <c r="E127" s="85" t="inlineStr">
        <is>
          <t>P1</t>
        </is>
      </c>
      <c r="F127" s="84" t="inlineStr">
        <is>
          <t>L (1–2 weeks)</t>
        </is>
      </c>
      <c r="G127" s="84" t="inlineStr">
        <is>
          <t>QA/DevOps + Baseball Analyst</t>
        </is>
      </c>
      <c r="H127" s="89" t="inlineStr">
        <is>
          <t>Open</t>
        </is>
      </c>
      <c r="I127" s="84" t="inlineStr">
        <is>
          <t>Yes</t>
        </is>
      </c>
      <c r="J127" s="84" t="inlineStr">
        <is>
          <t>E2E integration test: replay games, chi-squared run distributions (p&gt;0.05)</t>
        </is>
      </c>
      <c r="K127" s="84" t="inlineStr">
        <is>
          <t>See docs/audit/2026-06-10-phase4-prioritized-tickets.md</t>
        </is>
      </c>
      <c r="L127" s="84" t="inlineStr">
        <is>
          <t>SIM-320</t>
        </is>
      </c>
      <c r="M127" s="84" t="inlineStr">
        <is>
          <t>Statistical-validity gate.</t>
        </is>
      </c>
    </row>
    <row r="128" ht="23.85" customHeight="1" s="47">
      <c r="A128" s="84" t="inlineStr">
        <is>
          <t>SIM-326</t>
        </is>
      </c>
      <c r="B128" s="84" t="inlineStr">
        <is>
          <t>Invalid-state detection harness (1,000 games)</t>
        </is>
      </c>
      <c r="C128" s="84" t="inlineStr">
        <is>
          <t>Phase 4</t>
        </is>
      </c>
      <c r="D128" s="84" t="inlineStr">
        <is>
          <t>Test</t>
        </is>
      </c>
      <c r="E128" s="85" t="inlineStr">
        <is>
          <t>P1</t>
        </is>
      </c>
      <c r="F128" s="84" t="inlineStr">
        <is>
          <t>M (3–5 days)</t>
        </is>
      </c>
      <c r="G128" s="84" t="inlineStr">
        <is>
          <t>QA/DevOps + Backend Developer</t>
        </is>
      </c>
      <c r="H128" s="89" t="inlineStr">
        <is>
          <t>Open</t>
        </is>
      </c>
      <c r="I128" s="84" t="inlineStr">
        <is>
          <t>Yes</t>
        </is>
      </c>
      <c r="J128" s="84" t="inlineStr">
        <is>
          <t>Invalid-state detection harness (1,000 games)</t>
        </is>
      </c>
      <c r="K128" s="84" t="inlineStr">
        <is>
          <t>See docs/audit/2026-06-10-phase4-prioritized-tickets.md</t>
        </is>
      </c>
      <c r="L128" s="84" t="inlineStr">
        <is>
          <t>SIM-320</t>
        </is>
      </c>
      <c r="M128" s="84" t="inlineStr">
        <is>
          <t>Zero negative scores / &gt;3 outs / impossible advances.</t>
        </is>
      </c>
    </row>
    <row r="129" ht="23.85" customHeight="1" s="47">
      <c r="A129" s="84" t="inlineStr">
        <is>
          <t>SIM-327</t>
        </is>
      </c>
      <c r="B129" s="84" t="inlineStr">
        <is>
          <t>GameSimResult aggregation contract (win%, raw per-iter arrays, simulated_at, CIs)</t>
        </is>
      </c>
      <c r="C129" s="84" t="inlineStr">
        <is>
          <t>Phase 4</t>
        </is>
      </c>
      <c r="D129" s="84" t="inlineStr">
        <is>
          <t>Spec</t>
        </is>
      </c>
      <c r="E129" s="85" t="inlineStr">
        <is>
          <t>P2</t>
        </is>
      </c>
      <c r="F129" s="84" t="inlineStr">
        <is>
          <t>M (3–5 days)</t>
        </is>
      </c>
      <c r="G129" s="84" t="inlineStr">
        <is>
          <t>Backend Developer + UX Designer</t>
        </is>
      </c>
      <c r="H129" s="89" t="inlineStr">
        <is>
          <t>Open</t>
        </is>
      </c>
      <c r="I129" s="84" t="inlineStr">
        <is>
          <t>Yes</t>
        </is>
      </c>
      <c r="J129" s="84" t="inlineStr">
        <is>
          <t>GameSimResult aggregation contract (win%, raw per-iter arrays, simulated_at, CIs)</t>
        </is>
      </c>
      <c r="K129" s="84" t="inlineStr">
        <is>
          <t>See docs/audit/2026-06-10-phase4-prioritized-tickets.md</t>
        </is>
      </c>
      <c r="L129" s="84" t="inlineStr">
        <is>
          <t>SIM-320</t>
        </is>
      </c>
      <c r="M129" s="84" t="inlineStr">
        <is>
          <t>SIM-112 fields; single source for UI/betting.</t>
        </is>
      </c>
    </row>
    <row r="130" ht="23.85" customHeight="1" s="47">
      <c r="A130" s="84" t="inlineStr">
        <is>
          <t>SIM-328</t>
        </is>
      </c>
      <c r="B130" s="84" t="inlineStr">
        <is>
          <t>Per-player sim-average accumulator (AB/H/HR/RBI; IP/K/BB/ER)</t>
        </is>
      </c>
      <c r="C130" s="84" t="inlineStr">
        <is>
          <t>Phase 4</t>
        </is>
      </c>
      <c r="D130" s="84" t="inlineStr">
        <is>
          <t>Feature</t>
        </is>
      </c>
      <c r="E130" s="85" t="inlineStr">
        <is>
          <t>P2</t>
        </is>
      </c>
      <c r="F130" s="84" t="inlineStr">
        <is>
          <t>M (3–5 days)</t>
        </is>
      </c>
      <c r="G130" s="84" t="inlineStr">
        <is>
          <t>Backend Developer + Baseball Analyst</t>
        </is>
      </c>
      <c r="H130" s="89" t="inlineStr">
        <is>
          <t>Open</t>
        </is>
      </c>
      <c r="I130" s="84" t="inlineStr">
        <is>
          <t>Yes</t>
        </is>
      </c>
      <c r="J130" s="84" t="inlineStr">
        <is>
          <t>Per-player sim-average accumulator (AB/H/HR/RBI; IP/K/BB/ER)</t>
        </is>
      </c>
      <c r="K130" s="84" t="inlineStr">
        <is>
          <t>See docs/audit/2026-06-10-phase4-prioritized-tickets.md</t>
        </is>
      </c>
      <c r="L130" s="84" t="inlineStr">
        <is>
          <t>SIM-327</t>
        </is>
      </c>
      <c r="M130" s="84" t="inlineStr">
        <is>
          <t>Boxscore; build into PA loop.</t>
        </is>
      </c>
    </row>
    <row r="131" ht="23.85" customHeight="1" s="47">
      <c r="A131" s="84" t="inlineStr">
        <is>
          <t>SIM-329</t>
        </is>
      </c>
      <c r="B131" s="84" t="inlineStr">
        <is>
          <t>Prop-distribution aggregator (full PMF per prop)</t>
        </is>
      </c>
      <c r="C131" s="84" t="inlineStr">
        <is>
          <t>Phase 4</t>
        </is>
      </c>
      <c r="D131" s="84" t="inlineStr">
        <is>
          <t>Feature</t>
        </is>
      </c>
      <c r="E131" s="85" t="inlineStr">
        <is>
          <t>P2</t>
        </is>
      </c>
      <c r="F131" s="84" t="inlineStr">
        <is>
          <t>L (1–2 weeks)</t>
        </is>
      </c>
      <c r="G131" s="84" t="inlineStr">
        <is>
          <t>Backend Developer + ML Engineer + Betting Analyst</t>
        </is>
      </c>
      <c r="H131" s="89" t="inlineStr">
        <is>
          <t>Open</t>
        </is>
      </c>
      <c r="I131" s="84" t="inlineStr">
        <is>
          <t>Yes</t>
        </is>
      </c>
      <c r="J131" s="84" t="inlineStr">
        <is>
          <t>Prop-distribution aggregator (full PMF per prop)</t>
        </is>
      </c>
      <c r="K131" s="84" t="inlineStr">
        <is>
          <t>See docs/audit/2026-06-10-phase4-prioritized-tickets.md</t>
        </is>
      </c>
      <c r="L131" s="84" t="inlineStr">
        <is>
          <t>SIM-327</t>
        </is>
      </c>
      <c r="M131" s="84" t="inlineStr">
        <is>
          <t>K/hits/HR/RBI/TB; not means.</t>
        </is>
      </c>
    </row>
    <row r="132" ht="15" customHeight="1" s="47">
      <c r="A132" s="84" t="inlineStr">
        <is>
          <t>SIM-330</t>
        </is>
      </c>
      <c r="B132" s="84" t="inlineStr">
        <is>
          <t>Calibrated game win-probability output</t>
        </is>
      </c>
      <c r="C132" s="84" t="inlineStr">
        <is>
          <t>Phase 4</t>
        </is>
      </c>
      <c r="D132" s="84" t="inlineStr">
        <is>
          <t>Feature</t>
        </is>
      </c>
      <c r="E132" s="85" t="inlineStr">
        <is>
          <t>P2</t>
        </is>
      </c>
      <c r="F132" s="84" t="inlineStr">
        <is>
          <t>M (3–5 days)</t>
        </is>
      </c>
      <c r="G132" s="84" t="inlineStr">
        <is>
          <t>Backend Developer + ML Engineer</t>
        </is>
      </c>
      <c r="H132" s="89" t="inlineStr">
        <is>
          <t>Open</t>
        </is>
      </c>
      <c r="I132" s="84" t="inlineStr">
        <is>
          <t>Yes</t>
        </is>
      </c>
      <c r="J132" s="84" t="inlineStr">
        <is>
          <t>Calibrated game win-probability output</t>
        </is>
      </c>
      <c r="K132" s="84" t="inlineStr">
        <is>
          <t>See docs/audit/2026-06-10-phase4-prioritized-tickets.md</t>
        </is>
      </c>
      <c r="L132" s="84" t="inlineStr">
        <is>
          <t>SIM-320</t>
        </is>
      </c>
      <c r="M132" s="84" t="inlineStr">
        <is>
          <t>Moneyline/spread/total CLV needs it.</t>
        </is>
      </c>
    </row>
    <row r="133" ht="15" customHeight="1" s="47">
      <c r="A133" s="84" t="inlineStr">
        <is>
          <t>SIM-331</t>
        </is>
      </c>
      <c r="B133" s="84" t="inlineStr">
        <is>
          <t>Field/baserunner + play-by-play snapshot contracts</t>
        </is>
      </c>
      <c r="C133" s="84" t="inlineStr">
        <is>
          <t>Phase 4</t>
        </is>
      </c>
      <c r="D133" s="84" t="inlineStr">
        <is>
          <t>Spec</t>
        </is>
      </c>
      <c r="E133" s="85" t="inlineStr">
        <is>
          <t>P2</t>
        </is>
      </c>
      <c r="F133" s="84" t="inlineStr">
        <is>
          <t>M (3–5 days)</t>
        </is>
      </c>
      <c r="G133" s="84" t="inlineStr">
        <is>
          <t>Backend Developer + UX Designer</t>
        </is>
      </c>
      <c r="H133" s="89" t="inlineStr">
        <is>
          <t>Open</t>
        </is>
      </c>
      <c r="I133" s="84" t="inlineStr">
        <is>
          <t>Yes</t>
        </is>
      </c>
      <c r="J133" s="84" t="inlineStr">
        <is>
          <t>Field/baserunner + play-by-play snapshot contracts</t>
        </is>
      </c>
      <c r="K133" s="84" t="inlineStr">
        <is>
          <t>See docs/audit/2026-06-10-phase4-prioritized-tickets.md</t>
        </is>
      </c>
      <c r="L133" s="84" t="inlineStr">
        <is>
          <t>SIM-327</t>
        </is>
      </c>
      <c r="M133" s="84" t="inlineStr">
        <is>
          <t>Field graphic, /plays, /state, override-delta.</t>
        </is>
      </c>
    </row>
    <row r="134" ht="23.85" customHeight="1" s="47">
      <c r="A134" s="84" t="inlineStr">
        <is>
          <t>SIM-332</t>
        </is>
      </c>
      <c r="B134" s="84" t="inlineStr">
        <is>
          <t>ProcessPool 100-iteration runner + Redis TTL caching</t>
        </is>
      </c>
      <c r="C134" s="84" t="inlineStr">
        <is>
          <t>Phase 4</t>
        </is>
      </c>
      <c r="D134" s="84" t="inlineStr">
        <is>
          <t>Feature</t>
        </is>
      </c>
      <c r="E134" s="85" t="inlineStr">
        <is>
          <t>P2</t>
        </is>
      </c>
      <c r="F134" s="84" t="inlineStr">
        <is>
          <t>M (3–5 days)</t>
        </is>
      </c>
      <c r="G134" s="84" t="inlineStr">
        <is>
          <t>Backend Developer + Performance Engineer</t>
        </is>
      </c>
      <c r="H134" s="89" t="inlineStr">
        <is>
          <t>Open</t>
        </is>
      </c>
      <c r="I134" s="84" t="inlineStr">
        <is>
          <t>Yes</t>
        </is>
      </c>
      <c r="J134" s="84" t="inlineStr">
        <is>
          <t>ProcessPool 100-iteration runner + Redis TTL caching</t>
        </is>
      </c>
      <c r="K134" s="84" t="inlineStr">
        <is>
          <t>See docs/audit/2026-06-10-phase4-prioritized-tickets.md</t>
        </is>
      </c>
      <c r="L134" s="84" t="inlineStr">
        <is>
          <t>SIM-320</t>
        </is>
      </c>
      <c r="M134" s="84" t="inlineStr">
        <is>
          <t>SIM-281 model; 60s/5-min TTLs.</t>
        </is>
      </c>
    </row>
    <row r="135" ht="23.85" customHeight="1" s="47">
      <c r="A135" s="84" t="inlineStr">
        <is>
          <t>SIM-333</t>
        </is>
      </c>
      <c r="B135" s="84" t="inlineStr">
        <is>
          <t>Shared-memory/mmap zero-copy attach for tiles+KDTree+RBF</t>
        </is>
      </c>
      <c r="C135" s="84" t="inlineStr">
        <is>
          <t>Phase 4</t>
        </is>
      </c>
      <c r="D135" s="84" t="inlineStr">
        <is>
          <t>Feature</t>
        </is>
      </c>
      <c r="E135" s="85" t="inlineStr">
        <is>
          <t>P2</t>
        </is>
      </c>
      <c r="F135" s="84" t="inlineStr">
        <is>
          <t>L (1–2 weeks)</t>
        </is>
      </c>
      <c r="G135" s="84" t="inlineStr">
        <is>
          <t>Performance Engineer</t>
        </is>
      </c>
      <c r="H135" s="89" t="inlineStr">
        <is>
          <t>Open</t>
        </is>
      </c>
      <c r="I135" s="84" t="inlineStr">
        <is>
          <t>Yes</t>
        </is>
      </c>
      <c r="J135" s="84" t="inlineStr">
        <is>
          <t>Shared-memory/mmap zero-copy attach for tiles+KDTree+RBF</t>
        </is>
      </c>
      <c r="K135" s="84" t="inlineStr">
        <is>
          <t>See docs/audit/2026-06-10-phase4-prioritized-tickets.md</t>
        </is>
      </c>
      <c r="L135" s="84" t="inlineStr">
        <is>
          <t>SIM-332</t>
        </is>
      </c>
      <c r="M135" s="84" t="inlineStr">
        <is>
          <t>Keeps &lt;=2GB at W workers.</t>
        </is>
      </c>
    </row>
    <row r="136" ht="15" customHeight="1" s="47">
      <c r="A136" s="84" t="inlineStr">
        <is>
          <t>SIM-334</t>
        </is>
      </c>
      <c r="B136" s="84" t="inlineStr">
        <is>
          <t>Columnarize situation engine + read-only arsenal cache</t>
        </is>
      </c>
      <c r="C136" s="84" t="inlineStr">
        <is>
          <t>Phase 4</t>
        </is>
      </c>
      <c r="D136" s="84" t="inlineStr">
        <is>
          <t>Improvement</t>
        </is>
      </c>
      <c r="E136" s="85" t="inlineStr">
        <is>
          <t>P2</t>
        </is>
      </c>
      <c r="F136" s="84" t="inlineStr">
        <is>
          <t>M (3–5 days)</t>
        </is>
      </c>
      <c r="G136" s="84" t="inlineStr">
        <is>
          <t>Performance Engineer + ML Engineer</t>
        </is>
      </c>
      <c r="H136" s="89" t="inlineStr">
        <is>
          <t>Open</t>
        </is>
      </c>
      <c r="I136" s="84" t="inlineStr">
        <is>
          <t>No</t>
        </is>
      </c>
      <c r="J136" s="84" t="inlineStr">
        <is>
          <t>Columnarize situation engine + read-only arsenal cache</t>
        </is>
      </c>
      <c r="K136" s="84" t="inlineStr">
        <is>
          <t>See docs/audit/2026-06-10-phase4-prioritized-tickets.md</t>
        </is>
      </c>
      <c r="L136" s="84" t="inlineStr">
        <is>
          <t>None</t>
        </is>
      </c>
      <c r="M136" s="84" t="inlineStr">
        <is>
          <t>Reclaims ~100MB; shareable.</t>
        </is>
      </c>
    </row>
    <row r="137" ht="23.85" customHeight="1" s="47">
      <c r="A137" s="84" t="inlineStr">
        <is>
          <t>SIM-335</t>
        </is>
      </c>
      <c r="B137" s="84" t="inlineStr">
        <is>
          <t>Fill perf Bench 4/5 + CI perf/RAM gate</t>
        </is>
      </c>
      <c r="C137" s="84" t="inlineStr">
        <is>
          <t>Phase 4</t>
        </is>
      </c>
      <c r="D137" s="84" t="inlineStr">
        <is>
          <t>Validation</t>
        </is>
      </c>
      <c r="E137" s="85" t="inlineStr">
        <is>
          <t>P2</t>
        </is>
      </c>
      <c r="F137" s="84" t="inlineStr">
        <is>
          <t>M (3–5 days)</t>
        </is>
      </c>
      <c r="G137" s="84" t="inlineStr">
        <is>
          <t>Performance Engineer</t>
        </is>
      </c>
      <c r="H137" s="89" t="inlineStr">
        <is>
          <t>Open</t>
        </is>
      </c>
      <c r="I137" s="84" t="inlineStr">
        <is>
          <t>Yes</t>
        </is>
      </c>
      <c r="J137" s="84" t="inlineStr">
        <is>
          <t>Fill perf Bench 4/5 + CI perf/RAM gate</t>
        </is>
      </c>
      <c r="K137" s="84" t="inlineStr">
        <is>
          <t>See docs/audit/2026-06-10-phase4-prioritized-tickets.md</t>
        </is>
      </c>
      <c r="L137" s="84" t="inlineStr">
        <is>
          <t>SIM-320</t>
        </is>
      </c>
      <c r="M137" s="84" t="inlineStr">
        <is>
          <t>Enforce SIM-119 budget under PERF_STRICT.</t>
        </is>
      </c>
    </row>
    <row r="138" ht="23.85" customHeight="1" s="47">
      <c r="A138" s="84" t="inlineStr">
        <is>
          <t>SIM-336</t>
        </is>
      </c>
      <c r="B138" s="84" t="inlineStr">
        <is>
          <t>Park-factor application + neutralization + fix factor_overall SQL bug + L/R splits</t>
        </is>
      </c>
      <c r="C138" s="84" t="inlineStr">
        <is>
          <t>Phase 4</t>
        </is>
      </c>
      <c r="D138" s="84" t="inlineStr">
        <is>
          <t>Bug</t>
        </is>
      </c>
      <c r="E138" s="85" t="inlineStr">
        <is>
          <t>P2</t>
        </is>
      </c>
      <c r="F138" s="84" t="inlineStr">
        <is>
          <t>M (3–5 days)</t>
        </is>
      </c>
      <c r="G138" s="84" t="inlineStr">
        <is>
          <t>Baseball Analyst + Data Engineer</t>
        </is>
      </c>
      <c r="H138" s="89" t="inlineStr">
        <is>
          <t>Open</t>
        </is>
      </c>
      <c r="I138" s="84" t="inlineStr">
        <is>
          <t>No</t>
        </is>
      </c>
      <c r="J138" s="84" t="inlineStr">
        <is>
          <t>Park-factor application + neutralization + fix factor_overall SQL bug + L/R splits</t>
        </is>
      </c>
      <c r="K138" s="84" t="inlineStr">
        <is>
          <t>See docs/audit/2026-06-10-phase4-prioritized-tickets.md</t>
        </is>
      </c>
      <c r="L138" s="84" t="inlineStr">
        <is>
          <t>None</t>
        </is>
      </c>
      <c r="M138" s="84" t="inlineStr">
        <is>
          <t>BUG: NULL L/R splits + factor_overall ref-before-UNPIVOT.</t>
        </is>
      </c>
    </row>
    <row r="139" ht="23.85" customHeight="1" s="47">
      <c r="A139" s="84" t="inlineStr">
        <is>
          <t>SIM-337</t>
        </is>
      </c>
      <c r="B139" s="84" t="inlineStr">
        <is>
          <t>Reconcile SIM-115 indexes with query contract + add stand composites</t>
        </is>
      </c>
      <c r="C139" s="84" t="inlineStr">
        <is>
          <t>Phase 4</t>
        </is>
      </c>
      <c r="D139" s="84" t="inlineStr">
        <is>
          <t>Bug</t>
        </is>
      </c>
      <c r="E139" s="85" t="inlineStr">
        <is>
          <t>P2</t>
        </is>
      </c>
      <c r="F139" s="84" t="inlineStr">
        <is>
          <t>S (1–2 days)</t>
        </is>
      </c>
      <c r="G139" s="84" t="inlineStr">
        <is>
          <t>Data Engineer + Performance Engineer</t>
        </is>
      </c>
      <c r="H139" s="89" t="inlineStr">
        <is>
          <t>Open</t>
        </is>
      </c>
      <c r="I139" s="84" t="inlineStr">
        <is>
          <t>No</t>
        </is>
      </c>
      <c r="J139" s="84" t="inlineStr">
        <is>
          <t>Reconcile SIM-115 indexes with query contract + add stand composites</t>
        </is>
      </c>
      <c r="K139" s="84" t="inlineStr">
        <is>
          <t>See docs/audit/2026-06-10-phase4-prioritized-tickets.md</t>
        </is>
      </c>
      <c r="L139" s="84" t="inlineStr">
        <is>
          <t>None</t>
        </is>
      </c>
      <c r="M139" s="84" t="inlineStr">
        <is>
          <t>BUG: pruning contradicts SIM-111 §6.2.</t>
        </is>
      </c>
    </row>
    <row r="140" ht="15" customHeight="1" s="47">
      <c r="A140" s="84" t="inlineStr">
        <is>
          <t>SIM-338</t>
        </is>
      </c>
      <c r="B140" s="84" t="inlineStr">
        <is>
          <t>Phase 4 lineup/substitution read path (DuckDB&lt;-&gt;Postgres)</t>
        </is>
      </c>
      <c r="C140" s="84" t="inlineStr">
        <is>
          <t>Phase 4</t>
        </is>
      </c>
      <c r="D140" s="84" t="inlineStr">
        <is>
          <t>Design</t>
        </is>
      </c>
      <c r="E140" s="85" t="inlineStr">
        <is>
          <t>P2</t>
        </is>
      </c>
      <c r="F140" s="84" t="inlineStr">
        <is>
          <t>M (3–5 days)</t>
        </is>
      </c>
      <c r="G140" s="84" t="inlineStr">
        <is>
          <t>Data Engineer + Backend Developer</t>
        </is>
      </c>
      <c r="H140" s="89" t="inlineStr">
        <is>
          <t>Open</t>
        </is>
      </c>
      <c r="I140" s="84" t="inlineStr">
        <is>
          <t>Yes</t>
        </is>
      </c>
      <c r="J140" s="84" t="inlineStr">
        <is>
          <t>Phase 4 lineup/substitution read path (DuckDB&lt;-&gt;Postgres)</t>
        </is>
      </c>
      <c r="K140" s="84" t="inlineStr">
        <is>
          <t>See docs/audit/2026-06-10-phase4-prioritized-tickets.md</t>
        </is>
      </c>
      <c r="L140" s="84" t="inlineStr">
        <is>
          <t>SIM-311</t>
        </is>
      </c>
      <c r="M140" s="84" t="inlineStr">
        <is>
          <t>game_lineups/lineup_state are PG-only.</t>
        </is>
      </c>
    </row>
    <row r="141" ht="15" customHeight="1" s="47">
      <c r="A141" s="84" t="inlineStr">
        <is>
          <t>SIM-339</t>
        </is>
      </c>
      <c r="B141" s="84" t="inlineStr">
        <is>
          <t>CLV engine (implied prob, de-vig, edge, EV, CLV)</t>
        </is>
      </c>
      <c r="C141" s="84" t="inlineStr">
        <is>
          <t>Phase 4</t>
        </is>
      </c>
      <c r="D141" s="84" t="inlineStr">
        <is>
          <t>Feature</t>
        </is>
      </c>
      <c r="E141" s="85" t="inlineStr">
        <is>
          <t>P2</t>
        </is>
      </c>
      <c r="F141" s="84" t="inlineStr">
        <is>
          <t>L (1–2 weeks)</t>
        </is>
      </c>
      <c r="G141" s="84" t="inlineStr">
        <is>
          <t>Betting Analyst + ML Engineer</t>
        </is>
      </c>
      <c r="H141" s="89" t="inlineStr">
        <is>
          <t>Open</t>
        </is>
      </c>
      <c r="I141" s="84" t="inlineStr">
        <is>
          <t>Yes</t>
        </is>
      </c>
      <c r="J141" s="84" t="inlineStr">
        <is>
          <t>CLV engine (implied prob, de-vig, edge, EV, CLV)</t>
        </is>
      </c>
      <c r="K141" s="84" t="inlineStr">
        <is>
          <t>See docs/audit/2026-06-10-phase4-prioritized-tickets.md</t>
        </is>
      </c>
      <c r="L141" s="84" t="inlineStr">
        <is>
          <t>SIM-329, SIM-330</t>
        </is>
      </c>
      <c r="M141" s="84" t="inlineStr">
        <is>
          <t>Gold-standard metric; fully unbuilt.</t>
        </is>
      </c>
    </row>
    <row r="142" ht="23.85" customHeight="1" s="47">
      <c r="A142" s="84" t="inlineStr">
        <is>
          <t>SIM-340</t>
        </is>
      </c>
      <c r="B142" s="84" t="inlineStr">
        <is>
          <t>Real odds provider + prop ingestion + opening-line capture</t>
        </is>
      </c>
      <c r="C142" s="84" t="inlineStr">
        <is>
          <t>Phase 4</t>
        </is>
      </c>
      <c r="D142" s="84" t="inlineStr">
        <is>
          <t>Feature</t>
        </is>
      </c>
      <c r="E142" s="85" t="inlineStr">
        <is>
          <t>P2</t>
        </is>
      </c>
      <c r="F142" s="84" t="inlineStr">
        <is>
          <t>M (3–5 days)</t>
        </is>
      </c>
      <c r="G142" s="84" t="inlineStr">
        <is>
          <t>Data Engineer + Betting Analyst</t>
        </is>
      </c>
      <c r="H142" s="89" t="inlineStr">
        <is>
          <t>Open</t>
        </is>
      </c>
      <c r="I142" s="84" t="inlineStr">
        <is>
          <t>No</t>
        </is>
      </c>
      <c r="J142" s="84" t="inlineStr">
        <is>
          <t>Real odds provider + prop ingestion + opening-line capture</t>
        </is>
      </c>
      <c r="K142" s="84" t="inlineStr">
        <is>
          <t>See docs/audit/2026-06-10-phase4-prioritized-tickets.md</t>
        </is>
      </c>
      <c r="L142" s="84" t="inlineStr">
        <is>
          <t>None</t>
        </is>
      </c>
      <c r="M142" s="84" t="inlineStr">
        <is>
          <t>Swap MockOddsAPI; wire _persist_prop_odds; SIM-138.</t>
        </is>
      </c>
    </row>
    <row r="143" ht="23.85" customHeight="1" s="47">
      <c r="A143" s="84" t="inlineStr">
        <is>
          <t>SIM-341</t>
        </is>
      </c>
      <c r="B143" s="84" t="inlineStr">
        <is>
          <t>Reconcile README + PRODUCT_GUIDE to current state</t>
        </is>
      </c>
      <c r="C143" s="84" t="inlineStr">
        <is>
          <t>Phase 4</t>
        </is>
      </c>
      <c r="D143" s="84" t="inlineStr">
        <is>
          <t>Gap</t>
        </is>
      </c>
      <c r="E143" s="85" t="inlineStr">
        <is>
          <t>P3</t>
        </is>
      </c>
      <c r="F143" s="84" t="inlineStr">
        <is>
          <t>S (1–2 days)</t>
        </is>
      </c>
      <c r="G143" s="84" t="inlineStr">
        <is>
          <t>Product Manager</t>
        </is>
      </c>
      <c r="H143" s="89" t="inlineStr">
        <is>
          <t>Open</t>
        </is>
      </c>
      <c r="I143" s="84" t="inlineStr">
        <is>
          <t>Yes</t>
        </is>
      </c>
      <c r="J143" s="84" t="inlineStr">
        <is>
          <t>Reconcile README + PRODUCT_GUIDE to current state</t>
        </is>
      </c>
      <c r="K143" s="84" t="inlineStr">
        <is>
          <t>See docs/audit/2026-06-10-phase4-prioritized-tickets.md</t>
        </is>
      </c>
      <c r="L143" s="84" t="inlineStr">
        <is>
          <t>SIM-310</t>
        </is>
      </c>
      <c r="M143" s="84" t="inlineStr">
        <is>
          <t>Engines built, registry shipped, simulator-&gt;simulation.</t>
        </is>
      </c>
    </row>
    <row r="144" ht="23.85" customHeight="1" s="47">
      <c r="A144" s="84" t="inlineStr">
        <is>
          <t>SIM-342</t>
        </is>
      </c>
      <c r="B144" s="84" t="inlineStr">
        <is>
          <t>Re-categorize open Phase 3 Gate rows (SIM-107/120/127/128/129)</t>
        </is>
      </c>
      <c r="C144" s="84" t="inlineStr">
        <is>
          <t>Phase 4</t>
        </is>
      </c>
      <c r="D144" s="84" t="inlineStr">
        <is>
          <t>Improvement</t>
        </is>
      </c>
      <c r="E144" s="85" t="inlineStr">
        <is>
          <t>P3</t>
        </is>
      </c>
      <c r="F144" s="84" t="inlineStr">
        <is>
          <t>S (1–2 days)</t>
        </is>
      </c>
      <c r="G144" s="84" t="inlineStr">
        <is>
          <t>Product Manager</t>
        </is>
      </c>
      <c r="H144" s="89" t="inlineStr">
        <is>
          <t>Open</t>
        </is>
      </c>
      <c r="I144" s="84" t="inlineStr">
        <is>
          <t>No</t>
        </is>
      </c>
      <c r="J144" s="84" t="inlineStr">
        <is>
          <t>Re-categorize open Phase 3 Gate rows (SIM-107/120/127/128/129)</t>
        </is>
      </c>
      <c r="K144" s="84" t="inlineStr">
        <is>
          <t>See docs/audit/2026-06-10-phase4-prioritized-tickets.md</t>
        </is>
      </c>
      <c r="L144" s="84" t="inlineStr">
        <is>
          <t>None</t>
        </is>
      </c>
      <c r="M144" s="84" t="inlineStr">
        <is>
          <t>Backlog hygiene.</t>
        </is>
      </c>
    </row>
    <row r="145" ht="23.85" customHeight="1" s="47">
      <c r="A145" s="84" t="inlineStr">
        <is>
          <t>SIM-343</t>
        </is>
      </c>
      <c r="B145" s="84" t="inlineStr">
        <is>
          <t>Add simulation/ to coverage scope + unify CI Python to 3.11</t>
        </is>
      </c>
      <c r="C145" s="84" t="inlineStr">
        <is>
          <t>Phase 4</t>
        </is>
      </c>
      <c r="D145" s="84" t="inlineStr">
        <is>
          <t>CI</t>
        </is>
      </c>
      <c r="E145" s="85" t="inlineStr">
        <is>
          <t>P3</t>
        </is>
      </c>
      <c r="F145" s="84" t="inlineStr">
        <is>
          <t>S (1–2 days)</t>
        </is>
      </c>
      <c r="G145" s="84" t="inlineStr">
        <is>
          <t>QA/DevOps</t>
        </is>
      </c>
      <c r="H145" s="89" t="inlineStr">
        <is>
          <t>Open</t>
        </is>
      </c>
      <c r="I145" s="84" t="inlineStr">
        <is>
          <t>No</t>
        </is>
      </c>
      <c r="J145" s="84" t="inlineStr">
        <is>
          <t>Add simulation/ to coverage scope + unify CI Python to 3.11</t>
        </is>
      </c>
      <c r="K145" s="84" t="inlineStr">
        <is>
          <t>See docs/audit/2026-06-10-phase4-prioritized-tickets.md</t>
        </is>
      </c>
      <c r="L145" s="84" t="inlineStr">
        <is>
          <t>None</t>
        </is>
      </c>
      <c r="M145" s="84" t="inlineStr">
        <is>
          <t>Loop module ships with no coverage gate today.</t>
        </is>
      </c>
    </row>
    <row r="146" ht="23.85" customHeight="1" s="47">
      <c r="A146" s="84" t="inlineStr">
        <is>
          <t>SIM-344</t>
        </is>
      </c>
      <c r="B146" s="84" t="inlineStr">
        <is>
          <t>Remove stray files (.clean/.tmp/_output.txt) + extend .gitignore</t>
        </is>
      </c>
      <c r="C146" s="84" t="inlineStr">
        <is>
          <t>Phase 4</t>
        </is>
      </c>
      <c r="D146" s="84" t="inlineStr">
        <is>
          <t>Chore</t>
        </is>
      </c>
      <c r="E146" s="85" t="inlineStr">
        <is>
          <t>P3</t>
        </is>
      </c>
      <c r="F146" s="84" t="inlineStr">
        <is>
          <t>S (1–2 days)</t>
        </is>
      </c>
      <c r="G146" s="84" t="inlineStr">
        <is>
          <t>QA/DevOps + Data Engineer</t>
        </is>
      </c>
      <c r="H146" s="89" t="inlineStr">
        <is>
          <t>Open</t>
        </is>
      </c>
      <c r="I146" s="84" t="inlineStr">
        <is>
          <t>No</t>
        </is>
      </c>
      <c r="J146" s="84" t="inlineStr">
        <is>
          <t>Remove stray files (.clean/.tmp/_output.txt) + extend .gitignore</t>
        </is>
      </c>
      <c r="K146" s="84" t="inlineStr">
        <is>
          <t>See docs/audit/2026-06-10-phase4-prioritized-tickets.md</t>
        </is>
      </c>
      <c r="L146" s="84" t="inlineStr">
        <is>
          <t>None</t>
        </is>
      </c>
      <c r="M146" s="84" t="inlineStr">
        <is>
          <t>Untracked scratch files in tree.</t>
        </is>
      </c>
    </row>
    <row r="147" ht="35.05" customHeight="1" s="47">
      <c r="A147" s="84" t="inlineStr">
        <is>
          <t>SIM-345</t>
        </is>
      </c>
      <c r="B147" s="84" t="inlineStr">
        <is>
          <t>Data-layer fixes: watermark &gt;=, consistent recency_ref_season, NOT NULL parity, stand/bat_hand contract</t>
        </is>
      </c>
      <c r="C147" s="84" t="inlineStr">
        <is>
          <t>Phase 4</t>
        </is>
      </c>
      <c r="D147" s="84" t="inlineStr">
        <is>
          <t>Bug</t>
        </is>
      </c>
      <c r="E147" s="85" t="inlineStr">
        <is>
          <t>P3</t>
        </is>
      </c>
      <c r="F147" s="84" t="inlineStr">
        <is>
          <t>M (3–5 days)</t>
        </is>
      </c>
      <c r="G147" s="84" t="inlineStr">
        <is>
          <t>Data Engineer</t>
        </is>
      </c>
      <c r="H147" s="89" t="inlineStr">
        <is>
          <t>Open</t>
        </is>
      </c>
      <c r="I147" s="84" t="inlineStr">
        <is>
          <t>No</t>
        </is>
      </c>
      <c r="J147" s="84" t="inlineStr">
        <is>
          <t>Data-layer fixes: watermark &gt;=, consistent recency_ref_season, NOT NULL parity, stand/bat_hand contract</t>
        </is>
      </c>
      <c r="K147" s="84" t="inlineStr">
        <is>
          <t>See docs/audit/2026-06-10-phase4-prioritized-tickets.md</t>
        </is>
      </c>
      <c r="L147" s="84" t="inlineStr">
        <is>
          <t>None</t>
        </is>
      </c>
      <c r="M147" s="84" t="inlineStr">
        <is>
          <t>Incremental-rebuild + recency edge cases.</t>
        </is>
      </c>
    </row>
    <row r="148" ht="23.85" customHeight="1" s="47">
      <c r="A148" s="84" t="inlineStr">
        <is>
          <t>SIM-346</t>
        </is>
      </c>
      <c r="B148" s="84" t="inlineStr">
        <is>
          <t>ML calibration fixes: pitcher no-arsenal no-op, arsenal_gamma vs scale, wire CalibrationReport + drift test</t>
        </is>
      </c>
      <c r="C148" s="84" t="inlineStr">
        <is>
          <t>Phase 4</t>
        </is>
      </c>
      <c r="D148" s="84" t="inlineStr">
        <is>
          <t>Bug</t>
        </is>
      </c>
      <c r="E148" s="85" t="inlineStr">
        <is>
          <t>P3</t>
        </is>
      </c>
      <c r="F148" s="84" t="inlineStr">
        <is>
          <t>M (3–5 days)</t>
        </is>
      </c>
      <c r="G148" s="84" t="inlineStr">
        <is>
          <t>ML Engineer</t>
        </is>
      </c>
      <c r="H148" s="89" t="inlineStr">
        <is>
          <t>Open</t>
        </is>
      </c>
      <c r="I148" s="84" t="inlineStr">
        <is>
          <t>No</t>
        </is>
      </c>
      <c r="J148" s="84" t="inlineStr">
        <is>
          <t>ML calibration fixes: pitcher no-arsenal no-op, arsenal_gamma vs scale, wire CalibrationReport + drift test</t>
        </is>
      </c>
      <c r="K148" s="84" t="inlineStr">
        <is>
          <t>See docs/audit/2026-06-10-phase4-prioritized-tickets.md</t>
        </is>
      </c>
      <c r="L148" s="84" t="inlineStr">
        <is>
          <t>None</t>
        </is>
      </c>
      <c r="M148" s="84" t="inlineStr">
        <is>
          <t>Calibration computed but unused; ×1.0 no-op.</t>
        </is>
      </c>
    </row>
    <row r="149" ht="15" customHeight="1" s="47">
      <c r="A149" s="84" t="inlineStr">
        <is>
          <t>SIM-347</t>
        </is>
      </c>
      <c r="B149" s="84" t="inlineStr">
        <is>
          <t>Stress test 100x30 concurrent games</t>
        </is>
      </c>
      <c r="C149" s="84" t="inlineStr">
        <is>
          <t>Phase 4</t>
        </is>
      </c>
      <c r="D149" s="84" t="inlineStr">
        <is>
          <t>Test</t>
        </is>
      </c>
      <c r="E149" s="85" t="inlineStr">
        <is>
          <t>P3</t>
        </is>
      </c>
      <c r="F149" s="84" t="inlineStr">
        <is>
          <t>M (3–5 days)</t>
        </is>
      </c>
      <c r="G149" s="84" t="inlineStr">
        <is>
          <t>QA/DevOps + Performance Engineer</t>
        </is>
      </c>
      <c r="H149" s="89" t="inlineStr">
        <is>
          <t>Open</t>
        </is>
      </c>
      <c r="I149" s="84" t="inlineStr">
        <is>
          <t>Yes</t>
        </is>
      </c>
      <c r="J149" s="84" t="inlineStr">
        <is>
          <t>Stress test 100x30 concurrent games</t>
        </is>
      </c>
      <c r="K149" s="84" t="inlineStr">
        <is>
          <t>See docs/audit/2026-06-10-phase4-prioritized-tickets.md</t>
        </is>
      </c>
      <c r="L149" s="84" t="inlineStr">
        <is>
          <t>SIM-332</t>
        </is>
      </c>
      <c r="M149" s="84" t="inlineStr">
        <is>
          <t>No races/leaks.</t>
        </is>
      </c>
    </row>
    <row r="150" ht="15" customHeight="1" s="47">
      <c r="A150" s="84" t="inlineStr">
        <is>
          <t>SIM-348</t>
        </is>
      </c>
      <c r="B150" s="84" t="inlineStr">
        <is>
          <t>SIM-107 live-pipeline tests + finish SIM-152 conftest</t>
        </is>
      </c>
      <c r="C150" s="84" t="inlineStr">
        <is>
          <t>Phase 4</t>
        </is>
      </c>
      <c r="D150" s="84" t="inlineStr">
        <is>
          <t>Test</t>
        </is>
      </c>
      <c r="E150" s="85" t="inlineStr">
        <is>
          <t>P3</t>
        </is>
      </c>
      <c r="F150" s="84" t="inlineStr">
        <is>
          <t>L (1–2 weeks)</t>
        </is>
      </c>
      <c r="G150" s="84" t="inlineStr">
        <is>
          <t>QA/DevOps + Data Engineer</t>
        </is>
      </c>
      <c r="H150" s="89" t="inlineStr">
        <is>
          <t>Open</t>
        </is>
      </c>
      <c r="I150" s="84" t="inlineStr">
        <is>
          <t>No</t>
        </is>
      </c>
      <c r="J150" s="84" t="inlineStr">
        <is>
          <t>SIM-107 live-pipeline tests + finish SIM-152 conftest</t>
        </is>
      </c>
      <c r="K150" s="84" t="inlineStr">
        <is>
          <t>See docs/audit/2026-06-10-phase4-prioritized-tickets.md</t>
        </is>
      </c>
      <c r="L150" s="84" t="inlineStr">
        <is>
          <t>None</t>
        </is>
      </c>
      <c r="M150" s="84" t="inlineStr">
        <is>
          <t>1,828-LOC file at 0% coverage.</t>
        </is>
      </c>
    </row>
    <row r="151" ht="15" customHeight="1" s="47">
      <c r="A151" s="84" t="inlineStr">
        <is>
          <t>SIM-349</t>
        </is>
      </c>
      <c r="B151" s="84" t="inlineStr">
        <is>
          <t>Situational-decision module (IBB/sac/hit-and-run/shift)</t>
        </is>
      </c>
      <c r="C151" s="84" t="inlineStr">
        <is>
          <t>Phase 4</t>
        </is>
      </c>
      <c r="D151" s="84" t="inlineStr">
        <is>
          <t>Design</t>
        </is>
      </c>
      <c r="E151" s="85" t="inlineStr">
        <is>
          <t>P3</t>
        </is>
      </c>
      <c r="F151" s="84" t="inlineStr">
        <is>
          <t>M (3–5 days)</t>
        </is>
      </c>
      <c r="G151" s="84" t="inlineStr">
        <is>
          <t>Baseball Analyst</t>
        </is>
      </c>
      <c r="H151" s="89" t="inlineStr">
        <is>
          <t>Open</t>
        </is>
      </c>
      <c r="I151" s="84" t="inlineStr">
        <is>
          <t>Yes</t>
        </is>
      </c>
      <c r="J151" s="84" t="inlineStr">
        <is>
          <t>Situational-decision module (IBB/sac/hit-and-run/shift)</t>
        </is>
      </c>
      <c r="K151" s="84" t="inlineStr">
        <is>
          <t>See docs/audit/2026-06-10-phase4-prioritized-tickets.md</t>
        </is>
      </c>
      <c r="L151" s="84" t="inlineStr">
        <is>
          <t>SIM-323</t>
        </is>
      </c>
      <c r="M151" s="84" t="inlineStr">
        <is>
          <t>Triggers for count/leverage-driven events.</t>
        </is>
      </c>
    </row>
    <row r="152">
      <c r="A152" s="46" t="inlineStr">
        <is>
          <t>SIM-350</t>
        </is>
      </c>
      <c r="B152" s="46" t="inlineStr">
        <is>
          <t>API response-serialization contract — Pydantic models + array-safe JSON for GameSimSummary/WinProbability/snapshots/PMFs/EdgeReport</t>
        </is>
      </c>
      <c r="C152" s="46" t="inlineStr">
        <is>
          <t>Phase 5 — Backend API</t>
        </is>
      </c>
      <c r="D152" s="46" t="inlineStr">
        <is>
          <t>Spec</t>
        </is>
      </c>
      <c r="E152" s="46" t="inlineStr">
        <is>
          <t>P0</t>
        </is>
      </c>
      <c r="F152" s="46" t="inlineStr">
        <is>
          <t>M</t>
        </is>
      </c>
      <c r="G152" s="46" t="inlineStr">
        <is>
          <t>Backend Developer · UX Designer</t>
        </is>
      </c>
      <c r="H152" s="46" t="inlineStr">
        <is>
          <t>Closed</t>
        </is>
      </c>
      <c r="I152" s="46" t="inlineStr">
        <is>
          <t>No</t>
        </is>
      </c>
      <c r="J152" s="46" t="inlineStr">
        <is>
          <t>Numpy-bearing output dataclasses had no JSON contract.</t>
        </is>
      </c>
      <c r="K152" s="46" t="inlineStr">
        <is>
          <t>api/serialization.py + api/schemas.py; model_dump_json round-trips with no numpy leak.</t>
        </is>
      </c>
      <c r="L152" s="46" t="inlineStr"/>
      <c r="M152" s="46" t="inlineStr">
        <is>
          <t>Closed 2026-05-24 (Sprint 1). 21 tests.</t>
        </is>
      </c>
    </row>
    <row r="153">
      <c r="A153" s="46" t="inlineStr">
        <is>
          <t>SIM-351</t>
        </is>
      </c>
      <c r="B153" s="46" t="inlineStr">
        <is>
          <t>Auth + rate-limit + CORS baseline</t>
        </is>
      </c>
      <c r="C153" s="46" t="inlineStr">
        <is>
          <t>Phase 5 — Backend API</t>
        </is>
      </c>
      <c r="D153" s="46" t="inlineStr">
        <is>
          <t>Feature</t>
        </is>
      </c>
      <c r="E153" s="46" t="inlineStr">
        <is>
          <t>P0</t>
        </is>
      </c>
      <c r="F153" s="46" t="inlineStr">
        <is>
          <t>M</t>
        </is>
      </c>
      <c r="G153" s="46" t="inlineStr">
        <is>
          <t>Backend Developer · QA/DevOps</t>
        </is>
      </c>
      <c r="H153" s="46" t="inlineStr">
        <is>
          <t>Closed</t>
        </is>
      </c>
      <c r="I153" s="46" t="inlineStr">
        <is>
          <t>No</t>
        </is>
      </c>
      <c r="J153" s="46" t="inlineStr">
        <is>
          <t>No auth/rate-limit anywhere; CORS was ['*'].</t>
        </is>
      </c>
      <c r="K153" s="46" t="inlineStr">
        <is>
          <t>api/auth.py: API-key dep + stdlib rate limiter + env CORS.</t>
        </is>
      </c>
      <c r="L153" s="46" t="inlineStr"/>
      <c r="M153" s="46" t="inlineStr">
        <is>
          <t>Closed 2026-05-24 (Sprint 1). 9 tests.</t>
        </is>
      </c>
    </row>
    <row r="154">
      <c r="A154" s="46" t="inlineStr">
        <is>
          <t>SIM-352</t>
        </is>
      </c>
      <c r="B154" s="46" t="inlineStr">
        <is>
          <t>Production DB-backed machine_factory for BatchRunner (real sims over PlayPoolSampler + SIM-333 tiles)</t>
        </is>
      </c>
      <c r="C154" s="46" t="inlineStr">
        <is>
          <t>Phase 5 — Backend API</t>
        </is>
      </c>
      <c r="D154" s="46" t="inlineStr">
        <is>
          <t>Feature</t>
        </is>
      </c>
      <c r="E154" s="46" t="inlineStr">
        <is>
          <t>P0</t>
        </is>
      </c>
      <c r="F154" s="46" t="inlineStr">
        <is>
          <t>L</t>
        </is>
      </c>
      <c r="G154" s="46" t="inlineStr">
        <is>
          <t>Backend Developer · Performance Engineer · ML Engineer</t>
        </is>
      </c>
      <c r="H154" s="46" t="inlineStr">
        <is>
          <t>Closed</t>
        </is>
      </c>
      <c r="I154" s="46" t="inlineStr">
        <is>
          <t>No</t>
        </is>
      </c>
      <c r="J154" s="46" t="inlineStr">
        <is>
          <t>Only the no-DB rng factory existed; /simulate couldn't run a real game.</t>
        </is>
      </c>
      <c r="K154" s="46" t="inlineStr">
        <is>
          <t>simulation/production_factory.py; injectable builders for no-DB tests.</t>
        </is>
      </c>
      <c r="L154" s="46" t="inlineStr"/>
      <c r="M154" s="46" t="inlineStr">
        <is>
          <t>Closed 2026-05-24 (Sprint 1). 13 tests. Live-DB SLA acceptance → SIM-372.</t>
        </is>
      </c>
    </row>
    <row r="155">
      <c r="A155" s="46" t="inlineStr">
        <is>
          <t>SIM-353</t>
        </is>
      </c>
      <c r="B155" s="46" t="inlineStr">
        <is>
          <t>Runtime lineup/substitution resolver: Postgres raw.game_lineups → GameState (the SIM-338 gap)</t>
        </is>
      </c>
      <c r="C155" s="46" t="inlineStr">
        <is>
          <t>Phase 5 — Backend API</t>
        </is>
      </c>
      <c r="D155" s="46" t="inlineStr">
        <is>
          <t>Feature</t>
        </is>
      </c>
      <c r="E155" s="46" t="inlineStr">
        <is>
          <t>P0</t>
        </is>
      </c>
      <c r="F155" s="46" t="inlineStr">
        <is>
          <t>L</t>
        </is>
      </c>
      <c r="G155" s="46" t="inlineStr">
        <is>
          <t>Data Engineer · Backend Developer</t>
        </is>
      </c>
      <c r="H155" s="46" t="inlineStr">
        <is>
          <t>Closed</t>
        </is>
      </c>
      <c r="I155" s="46" t="inlineStr">
        <is>
          <t>No</t>
        </is>
      </c>
      <c r="J155" s="46" t="inlineStr">
        <is>
          <t>No runtime read path from lineup stores to GameState.</t>
        </is>
      </c>
      <c r="K155" s="46" t="inlineStr">
        <is>
          <t>simulation/lineup_resolver.py; subs by sequence + as_of_at_bat.</t>
        </is>
      </c>
      <c r="L155" s="46" t="inlineStr"/>
      <c r="M155" s="46" t="inlineStr">
        <is>
          <t>Closed 2026-05-24 (Sprint 1). 24 tests. raw.game_lineups already in migration 0001.</t>
        </is>
      </c>
    </row>
    <row r="156">
      <c r="A156" s="46" t="inlineStr">
        <is>
          <t>SIM-354</t>
        </is>
      </c>
      <c r="B156" s="46" t="inlineStr">
        <is>
          <t>API skeleton — mount ws_router/odds_router/live pipeline into api/main.py</t>
        </is>
      </c>
      <c r="C156" s="46" t="inlineStr">
        <is>
          <t>Phase 5 — Backend API</t>
        </is>
      </c>
      <c r="D156" s="46" t="inlineStr">
        <is>
          <t>Gap</t>
        </is>
      </c>
      <c r="E156" s="46" t="inlineStr">
        <is>
          <t>P0</t>
        </is>
      </c>
      <c r="F156" s="46" t="inlineStr">
        <is>
          <t>S</t>
        </is>
      </c>
      <c r="G156" s="46" t="inlineStr">
        <is>
          <t>Backend Developer · Data Engineer</t>
        </is>
      </c>
      <c r="H156" s="46" t="inlineStr">
        <is>
          <t>Closed</t>
        </is>
      </c>
      <c r="I156" s="46" t="inlineStr">
        <is>
          <t>No</t>
        </is>
      </c>
      <c r="J156" s="46" t="inlineStr">
        <is>
          <t>Built routers/pipeline never mounted into the app.</t>
        </is>
      </c>
      <c r="K156" s="46" t="inlineStr">
        <is>
          <t>api/main.py mounts routers; pipeline gated by LIVE_PIPELINE_ENABLED.</t>
        </is>
      </c>
      <c r="L156" s="46" t="inlineStr"/>
      <c r="M156" s="46" t="inlineStr">
        <is>
          <t>Closed 2026-05-24 (Sprint 1). 11 tests.</t>
        </is>
      </c>
    </row>
    <row r="157">
      <c r="A157" s="46" t="inlineStr">
        <is>
          <t>SIM-355</t>
        </is>
      </c>
      <c r="B157" s="46" t="inlineStr">
        <is>
          <t>GET /api/games/{date} + GET /{game_pk}/simulate (100-iteration runner → GameSimSummary)</t>
        </is>
      </c>
      <c r="C157" s="46" t="inlineStr">
        <is>
          <t>Phase 5 — Backend API</t>
        </is>
      </c>
      <c r="D157" s="46" t="inlineStr">
        <is>
          <t>Feature</t>
        </is>
      </c>
      <c r="E157" s="46" t="inlineStr">
        <is>
          <t>P1</t>
        </is>
      </c>
      <c r="F157" s="46" t="inlineStr">
        <is>
          <t>L</t>
        </is>
      </c>
      <c r="G157" s="46" t="inlineStr">
        <is>
          <t>Backend Developer</t>
        </is>
      </c>
      <c r="H157" s="46" t="inlineStr">
        <is>
          <t>Closed</t>
        </is>
      </c>
      <c r="I157" s="46" t="inlineStr">
        <is>
          <t>No</t>
        </is>
      </c>
      <c r="J157" s="46" t="inlineStr">
        <is>
          <t>The core endpoints.</t>
        </is>
      </c>
      <c r="K157" s="46" t="inlineStr"/>
      <c r="L157" s="46" t="inlineStr"/>
      <c r="M157" s="46" t="inlineStr">
        <is>
          <t>SIM-350, SIM-352, SIM-353 | Closed 2026-05-24 (Phase 5 Sprint 2).</t>
        </is>
      </c>
      <c r="N157" s="46" t="inlineStr"/>
    </row>
    <row r="158">
      <c r="A158" s="46" t="inlineStr">
        <is>
          <t>SIM-356</t>
        </is>
      </c>
      <c r="B158" s="46" t="inlineStr">
        <is>
          <t>Sim-result + pitch-snapshot persistence (Alembic 0014 / DuckDB v8) backing /state + /plays</t>
        </is>
      </c>
      <c r="C158" s="46" t="inlineStr">
        <is>
          <t>Phase 5 — Backend API</t>
        </is>
      </c>
      <c r="D158" s="46" t="inlineStr">
        <is>
          <t>Feature</t>
        </is>
      </c>
      <c r="E158" s="46" t="inlineStr">
        <is>
          <t>P1</t>
        </is>
      </c>
      <c r="F158" s="46" t="inlineStr">
        <is>
          <t>M</t>
        </is>
      </c>
      <c r="G158" s="46" t="inlineStr">
        <is>
          <t>Data Engineer</t>
        </is>
      </c>
      <c r="H158" s="46" t="inlineStr">
        <is>
          <t>Closed</t>
        </is>
      </c>
      <c r="I158" s="46" t="inlineStr">
        <is>
          <t>No</t>
        </is>
      </c>
      <c r="J158" s="46" t="inlineStr">
        <is>
          <t>Only an ephemeral Redis/JSONB blob today.</t>
        </is>
      </c>
      <c r="K158" s="46" t="inlineStr"/>
      <c r="L158" s="46" t="inlineStr"/>
      <c r="M158" s="46" t="inlineStr">
        <is>
          <t>SIM-350 | Closed 2026-05-24 (Phase 5 Sprint 2).</t>
        </is>
      </c>
      <c r="N158" s="46" t="inlineStr"/>
    </row>
    <row r="159">
      <c r="A159" s="46" t="inlineStr">
        <is>
          <t>SIM-357</t>
        </is>
      </c>
      <c r="B159" s="46" t="inlineStr">
        <is>
          <t>GET /{game_pk}/plays + GET /{game_pk}/state/{at_bat}/{pitch} (from persisted snapshots)</t>
        </is>
      </c>
      <c r="C159" s="46" t="inlineStr">
        <is>
          <t>Phase 5 — Backend API</t>
        </is>
      </c>
      <c r="D159" s="46" t="inlineStr">
        <is>
          <t>Feature</t>
        </is>
      </c>
      <c r="E159" s="46" t="inlineStr">
        <is>
          <t>P1</t>
        </is>
      </c>
      <c r="F159" s="46" t="inlineStr">
        <is>
          <t>M</t>
        </is>
      </c>
      <c r="G159" s="46" t="inlineStr">
        <is>
          <t>Backend Developer</t>
        </is>
      </c>
      <c r="H159" s="46" t="inlineStr">
        <is>
          <t>Closed</t>
        </is>
      </c>
      <c r="I159" s="46" t="inlineStr">
        <is>
          <t>No</t>
        </is>
      </c>
      <c r="J159" s="46" t="inlineStr"/>
      <c r="K159" s="46" t="inlineStr"/>
      <c r="L159" s="46" t="inlineStr"/>
      <c r="M159" s="46" t="inlineStr">
        <is>
          <t>SIM-356 | Closed 2026-05-24 (Phase 5 Sprint 2).</t>
        </is>
      </c>
      <c r="N159" s="46" t="inlineStr"/>
    </row>
    <row r="160">
      <c r="A160" s="46" t="inlineStr">
        <is>
          <t>SIM-358</t>
        </is>
      </c>
      <c r="B160" s="46" t="inlineStr">
        <is>
          <t>POST /{game_pk}/simulate/with_override (roster-mod re-sim → OverrideDelta)</t>
        </is>
      </c>
      <c r="C160" s="46" t="inlineStr">
        <is>
          <t>Phase 5 — Backend API</t>
        </is>
      </c>
      <c r="D160" s="46" t="inlineStr">
        <is>
          <t>Feature</t>
        </is>
      </c>
      <c r="E160" s="46" t="inlineStr">
        <is>
          <t>P1</t>
        </is>
      </c>
      <c r="F160" s="46" t="inlineStr">
        <is>
          <t>M</t>
        </is>
      </c>
      <c r="G160" s="46" t="inlineStr">
        <is>
          <t>Backend Developer</t>
        </is>
      </c>
      <c r="H160" s="46" t="inlineStr">
        <is>
          <t>Closed</t>
        </is>
      </c>
      <c r="I160" s="46" t="inlineStr">
        <is>
          <t>No</t>
        </is>
      </c>
      <c r="J160" s="46" t="inlineStr"/>
      <c r="K160" s="46" t="inlineStr"/>
      <c r="L160" s="46" t="inlineStr"/>
      <c r="M160" s="46" t="inlineStr">
        <is>
          <t>SIM-355 | Closed 2026-05-24 (Phase 5 Sprint 2).</t>
        </is>
      </c>
      <c r="N160" s="46" t="inlineStr"/>
    </row>
    <row r="161">
      <c r="A161" s="46" t="inlineStr">
        <is>
          <t>SIM-359</t>
        </is>
      </c>
      <c r="B161" s="46" t="inlineStr">
        <is>
          <t>Redis TTL wiring for the API (sim 60s / pool 5-min / odds 5-min)</t>
        </is>
      </c>
      <c r="C161" s="46" t="inlineStr">
        <is>
          <t>Phase 5 — Backend API</t>
        </is>
      </c>
      <c r="D161" s="46" t="inlineStr">
        <is>
          <t>Feature</t>
        </is>
      </c>
      <c r="E161" s="46" t="inlineStr">
        <is>
          <t>P1</t>
        </is>
      </c>
      <c r="F161" s="46" t="inlineStr">
        <is>
          <t>S</t>
        </is>
      </c>
      <c r="G161" s="46" t="inlineStr">
        <is>
          <t>Backend Developer</t>
        </is>
      </c>
      <c r="H161" s="46" t="inlineStr">
        <is>
          <t>Closed</t>
        </is>
      </c>
      <c r="I161" s="46" t="inlineStr">
        <is>
          <t>No</t>
        </is>
      </c>
      <c r="J161" s="46" t="inlineStr">
        <is>
          <t>Constants exist; not wired to the API.</t>
        </is>
      </c>
      <c r="K161" s="46" t="inlineStr"/>
      <c r="L161" s="46" t="inlineStr"/>
      <c r="M161" s="46" t="inlineStr">
        <is>
          <t>SIM-355 | Closed 2026-05-24 (Phase 5 Sprint 2).</t>
        </is>
      </c>
      <c r="N161" s="46" t="inlineStr"/>
    </row>
    <row r="162">
      <c r="A162" s="46" t="inlineStr">
        <is>
          <t>SIM-360</t>
        </is>
      </c>
      <c r="B162" s="46" t="inlineStr">
        <is>
          <t>Persistent ProcessPool + shared-memory lifecycle for the long-lived API</t>
        </is>
      </c>
      <c r="C162" s="46" t="inlineStr">
        <is>
          <t>Phase 5 — Backend API</t>
        </is>
      </c>
      <c r="D162" s="46" t="inlineStr">
        <is>
          <t>Perf</t>
        </is>
      </c>
      <c r="E162" s="46" t="inlineStr">
        <is>
          <t>P1</t>
        </is>
      </c>
      <c r="F162" s="46" t="inlineStr">
        <is>
          <t>M</t>
        </is>
      </c>
      <c r="G162" s="46" t="inlineStr">
        <is>
          <t>Performance Engineer</t>
        </is>
      </c>
      <c r="H162" s="46" t="inlineStr">
        <is>
          <t>Closed</t>
        </is>
      </c>
      <c r="I162" s="46" t="inlineStr">
        <is>
          <t>No</t>
        </is>
      </c>
      <c r="J162" s="46" t="inlineStr">
        <is>
          <t>Today a fresh pool + shm publish/unlink per request.</t>
        </is>
      </c>
      <c r="K162" s="46" t="inlineStr"/>
      <c r="L162" s="46" t="inlineStr"/>
      <c r="M162" s="46" t="inlineStr">
        <is>
          <t>SIM-352 | Closed 2026-05-24 (Phase 5 Sprint 3; P1 tier complete).</t>
        </is>
      </c>
      <c r="N162" s="46" t="inlineStr"/>
    </row>
    <row r="163">
      <c r="A163" s="46" t="inlineStr">
        <is>
          <t>SIM-361</t>
        </is>
      </c>
      <c r="B163" s="46" t="inlineStr">
        <is>
          <t>CalibrationReport JSON persistence + API-startup load + CalibrationMap wiring; build all 11 engines</t>
        </is>
      </c>
      <c r="C163" s="46" t="inlineStr">
        <is>
          <t>Phase 5 — Backend API</t>
        </is>
      </c>
      <c r="D163" s="46" t="inlineStr">
        <is>
          <t>Feature</t>
        </is>
      </c>
      <c r="E163" s="46" t="inlineStr">
        <is>
          <t>P1</t>
        </is>
      </c>
      <c r="F163" s="46" t="inlineStr">
        <is>
          <t>M</t>
        </is>
      </c>
      <c r="G163" s="46" t="inlineStr">
        <is>
          <t>ML Engineer</t>
        </is>
      </c>
      <c r="H163" s="46" t="inlineStr">
        <is>
          <t>Closed</t>
        </is>
      </c>
      <c r="I163" s="46" t="inlineStr">
        <is>
          <t>No</t>
        </is>
      </c>
      <c r="J163" s="46" t="inlineStr">
        <is>
          <t>Only the pitcher engine builds at startup today.</t>
        </is>
      </c>
      <c r="K163" s="46" t="inlineStr"/>
      <c r="L163" s="46" t="inlineStr"/>
      <c r="M163" s="46" t="inlineStr">
        <is>
          <t>Closed 2026-05-24 (Phase 5 Sprint 3; P1 tier complete).</t>
        </is>
      </c>
      <c r="N163" s="46" t="inlineStr"/>
    </row>
    <row r="164">
      <c r="A164" s="46" t="inlineStr">
        <is>
          <t>SIM-362</t>
        </is>
      </c>
      <c r="B164" s="46" t="inlineStr">
        <is>
          <t>Per-inning linescore + team R/H/E tracking in the loop</t>
        </is>
      </c>
      <c r="C164" s="46" t="inlineStr">
        <is>
          <t>Phase 5 — Loop Outputs</t>
        </is>
      </c>
      <c r="D164" s="46" t="inlineStr">
        <is>
          <t>Gap</t>
        </is>
      </c>
      <c r="E164" s="46" t="inlineStr">
        <is>
          <t>P2</t>
        </is>
      </c>
      <c r="F164" s="46" t="inlineStr">
        <is>
          <t>L</t>
        </is>
      </c>
      <c r="G164" s="46" t="inlineStr">
        <is>
          <t>Backend Developer · Baseball Analyst</t>
        </is>
      </c>
      <c r="H164" s="46" t="inlineStr">
        <is>
          <t>Closed</t>
        </is>
      </c>
      <c r="I164" s="46" t="inlineStr">
        <is>
          <t>No</t>
        </is>
      </c>
      <c r="J164" s="46" t="inlineStr">
        <is>
          <t>Only cumulative score exists; LinescoreGraphic unservable.</t>
        </is>
      </c>
      <c r="K164" s="46" t="inlineStr"/>
      <c r="L164" s="46" t="inlineStr"/>
      <c r="M164" s="46" t="inlineStr">
        <is>
          <t>Closed 2026-05-24 (Phase 5 Sprint 4).</t>
        </is>
      </c>
      <c r="N164" s="46" t="inlineStr"/>
    </row>
    <row r="165">
      <c r="A165" s="46" t="inlineStr">
        <is>
          <t>SIM-363</t>
        </is>
      </c>
      <c r="B165" s="46" t="inlineStr">
        <is>
          <t>Per-position fielder tracking → populate FieldSnapshot's 9 defensive slots</t>
        </is>
      </c>
      <c r="C165" s="46" t="inlineStr">
        <is>
          <t>Phase 5 — Loop Outputs</t>
        </is>
      </c>
      <c r="D165" s="46" t="inlineStr">
        <is>
          <t>Gap</t>
        </is>
      </c>
      <c r="E165" s="46" t="inlineStr">
        <is>
          <t>P2</t>
        </is>
      </c>
      <c r="F165" s="46" t="inlineStr">
        <is>
          <t>M</t>
        </is>
      </c>
      <c r="G165" s="46" t="inlineStr">
        <is>
          <t>Backend Developer · ML Engineer</t>
        </is>
      </c>
      <c r="H165" s="46" t="inlineStr">
        <is>
          <t>Closed</t>
        </is>
      </c>
      <c r="I165" s="46" t="inlineStr">
        <is>
          <t>No</t>
        </is>
      </c>
      <c r="J165" s="46" t="inlineStr">
        <is>
          <t>FieldSnapshot slots empty today.</t>
        </is>
      </c>
      <c r="K165" s="46" t="inlineStr"/>
      <c r="L165" s="46" t="inlineStr"/>
      <c r="M165" s="46" t="inlineStr">
        <is>
          <t>SIM-353 | Closed 2026-05-24 (Phase 5 Sprint 4).</t>
        </is>
      </c>
      <c r="N165" s="46" t="inlineStr"/>
    </row>
    <row r="166">
      <c r="A166" s="46" t="inlineStr">
        <is>
          <t>SIM-364</t>
        </is>
      </c>
      <c r="B166" s="46" t="inlineStr">
        <is>
          <t>Winning / losing / save pitcher attribution</t>
        </is>
      </c>
      <c r="C166" s="46" t="inlineStr">
        <is>
          <t>Phase 5 — Loop Outputs</t>
        </is>
      </c>
      <c r="D166" s="46" t="inlineStr">
        <is>
          <t>Gap</t>
        </is>
      </c>
      <c r="E166" s="46" t="inlineStr">
        <is>
          <t>P2</t>
        </is>
      </c>
      <c r="F166" s="46" t="inlineStr">
        <is>
          <t>M</t>
        </is>
      </c>
      <c r="G166" s="46" t="inlineStr">
        <is>
          <t>Baseball Analyst · Backend Developer</t>
        </is>
      </c>
      <c r="H166" s="46" t="inlineStr">
        <is>
          <t>Closed</t>
        </is>
      </c>
      <c r="I166" s="46" t="inlineStr">
        <is>
          <t>No</t>
        </is>
      </c>
      <c r="J166" s="46" t="inlineStr">
        <is>
          <t>Required by the Completed game card; absent today.</t>
        </is>
      </c>
      <c r="K166" s="46" t="inlineStr"/>
      <c r="L166" s="46" t="inlineStr"/>
      <c r="M166" s="46" t="inlineStr">
        <is>
          <t>SIM-362 | Closed 2026-05-24 (Phase 5 Sprint 4).</t>
        </is>
      </c>
      <c r="N166" s="46" t="inlineStr"/>
    </row>
    <row r="167">
      <c r="A167" s="46" t="inlineStr">
        <is>
          <t>SIM-365</t>
        </is>
      </c>
      <c r="B167" s="46" t="inlineStr">
        <is>
          <t>Extend PlayerStatLine (2B/3B/R/SB; pitcher hits/runs-allowed) + fix SIM-329 prop-TB lower bound</t>
        </is>
      </c>
      <c r="C167" s="46" t="inlineStr">
        <is>
          <t>Phase 5 — Loop Outputs</t>
        </is>
      </c>
      <c r="D167" s="46" t="inlineStr">
        <is>
          <t>Improvement</t>
        </is>
      </c>
      <c r="E167" s="46" t="inlineStr">
        <is>
          <t>P2</t>
        </is>
      </c>
      <c r="F167" s="46" t="inlineStr">
        <is>
          <t>M</t>
        </is>
      </c>
      <c r="G167" s="46" t="inlineStr">
        <is>
          <t>Baseball Analyst · Backend Developer</t>
        </is>
      </c>
      <c r="H167" s="46" t="inlineStr">
        <is>
          <t>Closed</t>
        </is>
      </c>
      <c r="I167" s="46" t="inlineStr">
        <is>
          <t>No</t>
        </is>
      </c>
      <c r="J167" s="46" t="inlineStr">
        <is>
          <t>prop TB is a lower bound (h+3·hr) until 2B/3B tracked.</t>
        </is>
      </c>
      <c r="K167" s="46" t="inlineStr"/>
      <c r="L167" s="46" t="inlineStr"/>
      <c r="M167" s="46" t="inlineStr">
        <is>
          <t>Closed 2026-05-24 (Phase 5 Sprint 4).</t>
        </is>
      </c>
      <c r="N167" s="46" t="inlineStr"/>
    </row>
    <row r="168">
      <c r="A168" s="46" t="inlineStr">
        <is>
          <t>SIM-366</t>
        </is>
      </c>
      <c r="B168" s="46" t="inlineStr">
        <is>
          <t>Per-player 100-iteration boxscore-average API shape (PropDistributionSet means)</t>
        </is>
      </c>
      <c r="C168" s="46" t="inlineStr">
        <is>
          <t>Phase 5 — Backend API</t>
        </is>
      </c>
      <c r="D168" s="46" t="inlineStr">
        <is>
          <t>Feature</t>
        </is>
      </c>
      <c r="E168" s="46" t="inlineStr">
        <is>
          <t>P2</t>
        </is>
      </c>
      <c r="F168" s="46" t="inlineStr">
        <is>
          <t>S</t>
        </is>
      </c>
      <c r="G168" s="46" t="inlineStr">
        <is>
          <t>Backend Developer · UX Designer</t>
        </is>
      </c>
      <c r="H168" s="46" t="inlineStr">
        <is>
          <t>Closed</t>
        </is>
      </c>
      <c r="I168" s="46" t="inlineStr">
        <is>
          <t>No</t>
        </is>
      </c>
      <c r="J168" s="46" t="inlineStr"/>
      <c r="K168" s="46" t="inlineStr"/>
      <c r="L168" s="46" t="inlineStr"/>
      <c r="M168" s="46" t="inlineStr">
        <is>
          <t>SIM-350 | Closed 2026-05-24 (Phase 5 Sprint 4).</t>
        </is>
      </c>
      <c r="N168" s="46" t="inlineStr"/>
    </row>
    <row r="169">
      <c r="A169" s="46" t="inlineStr">
        <is>
          <t>SIM-367</t>
        </is>
      </c>
      <c r="B169" s="46" t="inlineStr">
        <is>
          <t>Run-line / spread EdgeReport from raw score-margin arrays</t>
        </is>
      </c>
      <c r="C169" s="46" t="inlineStr">
        <is>
          <t>Phase 5 — Betting</t>
        </is>
      </c>
      <c r="D169" s="46" t="inlineStr">
        <is>
          <t>Gap</t>
        </is>
      </c>
      <c r="E169" s="46" t="inlineStr">
        <is>
          <t>P2</t>
        </is>
      </c>
      <c r="F169" s="46" t="inlineStr">
        <is>
          <t>S</t>
        </is>
      </c>
      <c r="G169" s="46" t="inlineStr">
        <is>
          <t>Betting Analyst · ML Engineer</t>
        </is>
      </c>
      <c r="H169" s="46" t="inlineStr">
        <is>
          <t>Closed</t>
        </is>
      </c>
      <c r="I169" s="46" t="inlineStr">
        <is>
          <t>No</t>
        </is>
      </c>
      <c r="J169" s="46" t="inlineStr">
        <is>
          <t>Only ML/total/prop edge exist.</t>
        </is>
      </c>
      <c r="K169" s="46" t="inlineStr"/>
      <c r="L169" s="46" t="inlineStr"/>
      <c r="M169" s="46" t="inlineStr">
        <is>
          <t>Closed 2026-05-24 (Phase 5 Sprint 5; betting surface + /api/betting).</t>
        </is>
      </c>
      <c r="N169" s="46" t="inlineStr"/>
    </row>
    <row r="170">
      <c r="A170" s="46" t="inlineStr">
        <is>
          <t>SIM-368</t>
        </is>
      </c>
      <c r="B170" s="46" t="inlineStr">
        <is>
          <t>CLV / line-movement time-series surface (opening→closing)</t>
        </is>
      </c>
      <c r="C170" s="46" t="inlineStr">
        <is>
          <t>Phase 5 — Betting</t>
        </is>
      </c>
      <c r="D170" s="46" t="inlineStr">
        <is>
          <t>Gap</t>
        </is>
      </c>
      <c r="E170" s="46" t="inlineStr">
        <is>
          <t>P2</t>
        </is>
      </c>
      <c r="F170" s="46" t="inlineStr">
        <is>
          <t>M</t>
        </is>
      </c>
      <c r="G170" s="46" t="inlineStr">
        <is>
          <t>Betting Analyst · Data Engineer</t>
        </is>
      </c>
      <c r="H170" s="46" t="inlineStr">
        <is>
          <t>Closed</t>
        </is>
      </c>
      <c r="I170" s="46" t="inlineStr">
        <is>
          <t>No</t>
        </is>
      </c>
      <c r="J170" s="46" t="inlineStr">
        <is>
          <t>CLV is a single entry-vs-close snapshot today.</t>
        </is>
      </c>
      <c r="K170" s="46" t="inlineStr"/>
      <c r="L170" s="46" t="inlineStr"/>
      <c r="M170" s="46" t="inlineStr">
        <is>
          <t>SIM-370 | Closed 2026-05-24 (Phase 5 Sprint 5; betting surface + /api/betting).</t>
        </is>
      </c>
      <c r="N170" s="46" t="inlineStr"/>
    </row>
    <row r="171">
      <c r="A171" s="46" t="inlineStr">
        <is>
          <t>SIM-369</t>
        </is>
      </c>
      <c r="B171" s="46" t="inlineStr">
        <is>
          <t>Bet-signal / +EV recommendation endpoint contract</t>
        </is>
      </c>
      <c r="C171" s="46" t="inlineStr">
        <is>
          <t>Phase 5 — Betting</t>
        </is>
      </c>
      <c r="D171" s="46" t="inlineStr">
        <is>
          <t>Feature</t>
        </is>
      </c>
      <c r="E171" s="46" t="inlineStr">
        <is>
          <t>P2</t>
        </is>
      </c>
      <c r="F171" s="46" t="inlineStr">
        <is>
          <t>M</t>
        </is>
      </c>
      <c r="G171" s="46" t="inlineStr">
        <is>
          <t>Betting Analyst</t>
        </is>
      </c>
      <c r="H171" s="46" t="inlineStr">
        <is>
          <t>Closed</t>
        </is>
      </c>
      <c r="I171" s="46" t="inlineStr">
        <is>
          <t>No</t>
        </is>
      </c>
      <c r="J171" s="46" t="inlineStr">
        <is>
          <t>Aggregate EdgeReports into a fireable signal.</t>
        </is>
      </c>
      <c r="K171" s="46" t="inlineStr"/>
      <c r="L171" s="46" t="inlineStr"/>
      <c r="M171" s="46" t="inlineStr">
        <is>
          <t>SIM-367 | Closed 2026-05-24 (Phase 5 Sprint 5; betting surface + /api/betting).</t>
        </is>
      </c>
      <c r="N171" s="46" t="inlineStr"/>
    </row>
    <row r="172">
      <c r="A172" s="46" t="inlineStr">
        <is>
          <t>SIM-370</t>
        </is>
      </c>
      <c r="B172" s="46" t="inlineStr">
        <is>
          <t>Real odds/prop provider swap behind MockOddsAPI</t>
        </is>
      </c>
      <c r="C172" s="46" t="inlineStr">
        <is>
          <t>Phase 5 — Betting</t>
        </is>
      </c>
      <c r="D172" s="46" t="inlineStr">
        <is>
          <t>Feature</t>
        </is>
      </c>
      <c r="E172" s="46" t="inlineStr">
        <is>
          <t>P2</t>
        </is>
      </c>
      <c r="F172" s="46" t="inlineStr">
        <is>
          <t>M</t>
        </is>
      </c>
      <c r="G172" s="46" t="inlineStr">
        <is>
          <t>Data Engineer · Betting Analyst</t>
        </is>
      </c>
      <c r="H172" s="46" t="inlineStr">
        <is>
          <t>Closed</t>
        </is>
      </c>
      <c r="I172" s="46" t="inlineStr">
        <is>
          <t>No</t>
        </is>
      </c>
      <c r="J172" s="46" t="inlineStr">
        <is>
          <t>Multi-book, sharp flag; cadence wired by SIM-340.</t>
        </is>
      </c>
      <c r="K172" s="46" t="inlineStr"/>
      <c r="L172" s="46" t="inlineStr"/>
      <c r="M172" s="46" t="inlineStr">
        <is>
          <t>Closed 2026-05-24 (Phase 5 Sprint 5; betting surface + /api/betting).</t>
        </is>
      </c>
      <c r="N172" s="46" t="inlineStr"/>
    </row>
    <row r="173">
      <c r="A173" s="46" t="inlineStr">
        <is>
          <t>SIM-371</t>
        </is>
      </c>
      <c r="B173" s="46" t="inlineStr">
        <is>
          <t>API integration + WebSocket + historical-replay E2E suite</t>
        </is>
      </c>
      <c r="C173" s="46" t="inlineStr">
        <is>
          <t>Phase 5 — Testing</t>
        </is>
      </c>
      <c r="D173" s="46" t="inlineStr">
        <is>
          <t>Test</t>
        </is>
      </c>
      <c r="E173" s="46" t="inlineStr">
        <is>
          <t>P2</t>
        </is>
      </c>
      <c r="F173" s="46" t="inlineStr">
        <is>
          <t>L</t>
        </is>
      </c>
      <c r="G173" s="46" t="inlineStr">
        <is>
          <t>QA/DevOps · Baseball Analyst</t>
        </is>
      </c>
      <c r="H173" s="46" t="inlineStr">
        <is>
          <t>Closed</t>
        </is>
      </c>
      <c r="I173" s="46" t="inlineStr">
        <is>
          <t>No</t>
        </is>
      </c>
      <c r="J173" s="46" t="inlineStr">
        <is>
          <t>api/websocket/ is an empty placeholder.</t>
        </is>
      </c>
      <c r="K173" s="46" t="inlineStr"/>
      <c r="L173" s="46" t="inlineStr"/>
      <c r="M173" s="46" t="inlineStr">
        <is>
          <t>SIM-355 | Closed 2026-05-24 (Phase 5 Sprint 6; PHASE 5 COMPLETE).</t>
        </is>
      </c>
      <c r="N173" s="46" t="inlineStr"/>
    </row>
    <row r="174">
      <c r="A174" s="46" t="inlineStr">
        <is>
          <t>SIM-372</t>
        </is>
      </c>
      <c r="B174" s="46" t="inlineStr">
        <is>
          <t>End-to-end /simulate latency perf gate (2s/30s SLA)</t>
        </is>
      </c>
      <c r="C174" s="46" t="inlineStr">
        <is>
          <t>Phase 5 — Testing</t>
        </is>
      </c>
      <c r="D174" s="46" t="inlineStr">
        <is>
          <t>Perf</t>
        </is>
      </c>
      <c r="E174" s="46" t="inlineStr">
        <is>
          <t>P2</t>
        </is>
      </c>
      <c r="F174" s="46" t="inlineStr">
        <is>
          <t>M</t>
        </is>
      </c>
      <c r="G174" s="46" t="inlineStr">
        <is>
          <t>Performance Engineer</t>
        </is>
      </c>
      <c r="H174" s="46" t="inlineStr">
        <is>
          <t>Closed</t>
        </is>
      </c>
      <c r="I174" s="46" t="inlineStr">
        <is>
          <t>No</t>
        </is>
      </c>
      <c r="J174" s="46" t="inlineStr">
        <is>
          <t>Current bench skips the request path.</t>
        </is>
      </c>
      <c r="K174" s="46" t="inlineStr"/>
      <c r="L174" s="46" t="inlineStr"/>
      <c r="M174" s="46" t="inlineStr">
        <is>
          <t>SIM-352 | Closed 2026-05-24 (Phase 5 Sprint 6; PHASE 5 COMPLETE).</t>
        </is>
      </c>
      <c r="N174" s="46" t="inlineStr"/>
    </row>
    <row r="175">
      <c r="A175" s="46" t="inlineStr">
        <is>
          <t>SIM-373</t>
        </is>
      </c>
      <c r="B175" s="46" t="inlineStr">
        <is>
          <t>nginx reverse proxy w/ WebSocket upgrade + dev/staging/prod env configs</t>
        </is>
      </c>
      <c r="C175" s="46" t="inlineStr">
        <is>
          <t>Phase 5 — Infra</t>
        </is>
      </c>
      <c r="D175" s="46" t="inlineStr">
        <is>
          <t>Infra</t>
        </is>
      </c>
      <c r="E175" s="46" t="inlineStr">
        <is>
          <t>P3</t>
        </is>
      </c>
      <c r="F175" s="46" t="inlineStr">
        <is>
          <t>M</t>
        </is>
      </c>
      <c r="G175" s="46" t="inlineStr">
        <is>
          <t>QA/DevOps</t>
        </is>
      </c>
      <c r="H175" s="46" t="inlineStr">
        <is>
          <t>Closed</t>
        </is>
      </c>
      <c r="I175" s="46" t="inlineStr">
        <is>
          <t>No</t>
        </is>
      </c>
      <c r="J175" s="46" t="inlineStr"/>
      <c r="K175" s="46" t="inlineStr"/>
      <c r="L175" s="46" t="inlineStr"/>
      <c r="M175" s="46" t="inlineStr">
        <is>
          <t>SIM-354 | Closed 2026-05-24 (Phase 5 Sprint 6; PHASE 5 COMPLETE).</t>
        </is>
      </c>
      <c r="N175" s="46" t="inlineStr"/>
    </row>
    <row r="176">
      <c r="A176" s="46" t="inlineStr">
        <is>
          <t>SIM-374</t>
        </is>
      </c>
      <c r="B176" s="46" t="inlineStr">
        <is>
          <t>Prometheus + Grafana monitoring (sim latency, API p95, pipeline freshness)</t>
        </is>
      </c>
      <c r="C176" s="46" t="inlineStr">
        <is>
          <t>Phase 5 — Infra</t>
        </is>
      </c>
      <c r="D176" s="46" t="inlineStr">
        <is>
          <t>Infra</t>
        </is>
      </c>
      <c r="E176" s="46" t="inlineStr">
        <is>
          <t>P3</t>
        </is>
      </c>
      <c r="F176" s="46" t="inlineStr">
        <is>
          <t>M</t>
        </is>
      </c>
      <c r="G176" s="46" t="inlineStr">
        <is>
          <t>QA/DevOps</t>
        </is>
      </c>
      <c r="H176" s="46" t="inlineStr">
        <is>
          <t>Closed</t>
        </is>
      </c>
      <c r="I176" s="46" t="inlineStr">
        <is>
          <t>No</t>
        </is>
      </c>
      <c r="J176" s="46" t="inlineStr"/>
      <c r="K176" s="46" t="inlineStr"/>
      <c r="L176" s="46" t="inlineStr"/>
      <c r="M176" s="46" t="inlineStr">
        <is>
          <t>SIM-373 | Closed 2026-05-24 (Phase 5 Sprint 6; PHASE 5 COMPLETE).</t>
        </is>
      </c>
      <c r="N176" s="46" t="inlineStr"/>
    </row>
    <row r="177">
      <c r="A177" s="46" t="inlineStr">
        <is>
          <t>SIM-375</t>
        </is>
      </c>
      <c r="B177" s="46" t="inlineStr">
        <is>
          <t>Fix docker-compose.yml to mount ./simulation + remove the dead simulator/ package</t>
        </is>
      </c>
      <c r="C177" s="46" t="inlineStr">
        <is>
          <t>Phase 5 — Infra</t>
        </is>
      </c>
      <c r="D177" s="46" t="inlineStr">
        <is>
          <t>Bug</t>
        </is>
      </c>
      <c r="E177" s="46" t="inlineStr">
        <is>
          <t>P3</t>
        </is>
      </c>
      <c r="F177" s="46" t="inlineStr">
        <is>
          <t>S</t>
        </is>
      </c>
      <c r="G177" s="46" t="inlineStr">
        <is>
          <t>Data Engineer · QA/DevOps</t>
        </is>
      </c>
      <c r="H177" s="46" t="inlineStr">
        <is>
          <t>Closed</t>
        </is>
      </c>
      <c r="I177" s="46" t="inlineStr">
        <is>
          <t>No</t>
        </is>
      </c>
      <c r="J177" s="46" t="inlineStr">
        <is>
          <t>Compose mounted the empty ./simulator stub.</t>
        </is>
      </c>
      <c r="K177" s="46" t="inlineStr">
        <is>
          <t>compose mounts ./simulation; Dockerfile copies simulation/+betting/; simulator/ deleted.</t>
        </is>
      </c>
      <c r="L177" s="46" t="inlineStr"/>
      <c r="M177" s="46" t="inlineStr">
        <is>
          <t>Closed 2026-05-24 (Sprint 1).</t>
        </is>
      </c>
    </row>
    <row r="178">
      <c r="A178" s="46" t="inlineStr">
        <is>
          <t>SIM-376</t>
        </is>
      </c>
      <c r="B178" s="46" t="inlineStr">
        <is>
          <t>Add api/ to the coverage gate (pyproject source + ci --cov=api)</t>
        </is>
      </c>
      <c r="C178" s="46" t="inlineStr">
        <is>
          <t>Phase 5 — Infra</t>
        </is>
      </c>
      <c r="D178" s="46" t="inlineStr">
        <is>
          <t>Bug</t>
        </is>
      </c>
      <c r="E178" s="46" t="inlineStr">
        <is>
          <t>P3</t>
        </is>
      </c>
      <c r="F178" s="46" t="inlineStr">
        <is>
          <t>S</t>
        </is>
      </c>
      <c r="G178" s="46" t="inlineStr">
        <is>
          <t>QA/DevOps</t>
        </is>
      </c>
      <c r="H178" s="46" t="inlineStr">
        <is>
          <t>Closed</t>
        </is>
      </c>
      <c r="I178" s="46" t="inlineStr">
        <is>
          <t>No</t>
        </is>
      </c>
      <c r="J178" s="46" t="inlineStr">
        <is>
          <t>Only the Makefile measured api/ coverage.</t>
        </is>
      </c>
      <c r="K178" s="46" t="inlineStr">
        <is>
          <t>pyproject source += api; ci --cov=api.</t>
        </is>
      </c>
      <c r="L178" s="46" t="inlineStr"/>
      <c r="M178" s="46" t="inlineStr">
        <is>
          <t>Closed 2026-05-24 (Sprint 1).</t>
        </is>
      </c>
    </row>
    <row r="179">
      <c r="A179" s="46" t="inlineStr">
        <is>
          <t>SIM-377</t>
        </is>
      </c>
      <c r="B179" s="46" t="inlineStr">
        <is>
          <t>Fix/remove GameSpec._hit_rate (factory reads it but simulate_game has no **kwargs → TypeError)</t>
        </is>
      </c>
      <c r="C179" s="46" t="inlineStr">
        <is>
          <t>Phase 5 — Infra</t>
        </is>
      </c>
      <c r="D179" s="46" t="inlineStr">
        <is>
          <t>Bug</t>
        </is>
      </c>
      <c r="E179" s="46" t="inlineStr">
        <is>
          <t>P3</t>
        </is>
      </c>
      <c r="F179" s="46" t="inlineStr">
        <is>
          <t>S</t>
        </is>
      </c>
      <c r="G179" s="46" t="inlineStr">
        <is>
          <t>Backend Developer</t>
        </is>
      </c>
      <c r="H179" s="46" t="inlineStr">
        <is>
          <t>Closed</t>
        </is>
      </c>
      <c r="I179" s="46" t="inlineStr">
        <is>
          <t>No</t>
        </is>
      </c>
      <c r="J179" s="46" t="inlineStr">
        <is>
          <t>_hit_rate splatted into simulate_game raised TypeError.</t>
        </is>
      </c>
      <c r="K179" s="46" t="inlineStr">
        <is>
          <t>_run_one filters _-prefixed factory-only keys.</t>
        </is>
      </c>
      <c r="L179" s="46" t="inlineStr"/>
      <c r="M179" s="46" t="inlineStr">
        <is>
          <t>Closed 2026-05-24 (Sprint 1). 7 tests.</t>
        </is>
      </c>
    </row>
    <row r="180">
      <c r="A180" s="46" t="inlineStr">
        <is>
          <t>SIM-378</t>
        </is>
      </c>
      <c r="B180" s="46" t="inlineStr">
        <is>
          <t>React-vs-vanilla-JS architecture decision (ADR)</t>
        </is>
      </c>
      <c r="C180" s="46" t="inlineStr">
        <is>
          <t>Phase 6 - Frontend Foundation</t>
        </is>
      </c>
      <c r="D180" s="46" t="inlineStr">
        <is>
          <t>Spec</t>
        </is>
      </c>
      <c r="E180" s="46" t="inlineStr">
        <is>
          <t>P0</t>
        </is>
      </c>
      <c r="F180" s="46" t="inlineStr">
        <is>
          <t>S</t>
        </is>
      </c>
      <c r="G180" s="46" t="inlineStr">
        <is>
          <t>UX Designer + Backend Developer + QA/DevOps</t>
        </is>
      </c>
      <c r="H180" s="46" t="inlineStr">
        <is>
          <t>Closed</t>
        </is>
      </c>
      <c r="I180" s="46" t="inlineStr">
        <is>
          <t>No</t>
        </is>
      </c>
      <c r="J180" s="46" t="inlineStr">
        <is>
          <t>The agent_team.md kickoff 'key deferred decision' is unrecorded; all build tooling + the override UI complexity hinge on it.</t>
        </is>
      </c>
      <c r="K180" s="46" t="inlineStr">
        <is>
          <t>One-page ADR in docs/architecture/ picks framework + bundler + dir layout + Node version, justified by override-panel + WS-state needs.</t>
        </is>
      </c>
      <c r="M180" s="46" t="inlineStr">
        <is>
          <t>Tier P0. Blocks every build ticket.</t>
        </is>
      </c>
    </row>
    <row r="181">
      <c r="A181" s="46" t="inlineStr">
        <is>
          <t>SIM-379</t>
        </is>
      </c>
      <c r="B181" s="46" t="inlineStr">
        <is>
          <t>Frontend scaffold + build tooling + frontend CI job</t>
        </is>
      </c>
      <c r="C181" s="46" t="inlineStr">
        <is>
          <t>Phase 6 - Frontend Foundation</t>
        </is>
      </c>
      <c r="D181" s="46" t="inlineStr">
        <is>
          <t>Infra</t>
        </is>
      </c>
      <c r="E181" s="46" t="inlineStr">
        <is>
          <t>P0</t>
        </is>
      </c>
      <c r="F181" s="46" t="inlineStr">
        <is>
          <t>M</t>
        </is>
      </c>
      <c r="G181" s="46" t="inlineStr">
        <is>
          <t>UX Designer + QA/DevOps</t>
        </is>
      </c>
      <c r="H181" s="46" t="inlineStr">
        <is>
          <t>Closed</t>
        </is>
      </c>
      <c r="I181" s="46" t="inlineStr">
        <is>
          <t>No</t>
        </is>
      </c>
      <c r="J181" s="46" t="inlineStr">
        <is>
          <t>No package.json/bundler/lint/test runner exists; component dirs empty; CI has no JS lane.</t>
        </is>
      </c>
      <c r="K181" s="46" t="inlineStr">
        <is>
          <t>Scaffold builds; npm build/dev/test/lint work; path-filtered frontend CI job (node-&gt;install-&gt;lint-&gt;typecheck-&gt;unit) blocks PRs.</t>
        </is>
      </c>
      <c r="L181" s="46" t="inlineStr">
        <is>
          <t>SIM-378</t>
        </is>
      </c>
      <c r="M181" s="46" t="inlineStr">
        <is>
          <t>Tier P0.</t>
        </is>
      </c>
    </row>
    <row r="182">
      <c r="A182" s="46" t="inlineStr">
        <is>
          <t>SIM-380</t>
        </is>
      </c>
      <c r="B182" s="46" t="inlineStr">
        <is>
          <t>Design-system foundation (tokens, typography, spacing, Card/Panel/Badge)</t>
        </is>
      </c>
      <c r="C182" s="46" t="inlineStr">
        <is>
          <t>Phase 6 - Frontend Foundation</t>
        </is>
      </c>
      <c r="D182" s="46" t="inlineStr">
        <is>
          <t>Feature</t>
        </is>
      </c>
      <c r="E182" s="46" t="inlineStr">
        <is>
          <t>P0</t>
        </is>
      </c>
      <c r="F182" s="46" t="inlineStr">
        <is>
          <t>M</t>
        </is>
      </c>
      <c r="G182" s="46" t="inlineStr">
        <is>
          <t>UX Designer</t>
        </is>
      </c>
      <c r="H182" s="46" t="inlineStr">
        <is>
          <t>Closed</t>
        </is>
      </c>
      <c r="I182" s="46" t="inlineStr">
        <is>
          <t>No</t>
        </is>
      </c>
      <c r="J182" s="46" t="inlineStr">
        <is>
          <t>Design system has no code; only ad-hoc CSS vars in similarity_explorer.html.</t>
        </is>
      </c>
      <c r="K182" s="46" t="inlineStr">
        <is>
          <t>Token file + shared Card/Panel/Badge primitives + light/dark; reused by &gt;=2 components.</t>
        </is>
      </c>
      <c r="L182" s="46" t="inlineStr">
        <is>
          <t>SIM-379</t>
        </is>
      </c>
      <c r="M182" s="46" t="inlineStr">
        <is>
          <t>Tier P0.</t>
        </is>
      </c>
    </row>
    <row r="183">
      <c r="A183" s="46" t="inlineStr">
        <is>
          <t>SIM-381</t>
        </is>
      </c>
      <c r="B183" s="46" t="inlineStr">
        <is>
          <t>API-&gt;frontend serving path (StaticFiles / nginx SPA fallback)</t>
        </is>
      </c>
      <c r="C183" s="46" t="inlineStr">
        <is>
          <t>Phase 6 - Frontend Foundation</t>
        </is>
      </c>
      <c r="D183" s="46" t="inlineStr">
        <is>
          <t>Gap</t>
        </is>
      </c>
      <c r="E183" s="46" t="inlineStr">
        <is>
          <t>P0</t>
        </is>
      </c>
      <c r="F183" s="46" t="inlineStr">
        <is>
          <t>S</t>
        </is>
      </c>
      <c r="G183" s="46" t="inlineStr">
        <is>
          <t>Backend Developer + UX Designer</t>
        </is>
      </c>
      <c r="H183" s="46" t="inlineStr">
        <is>
          <t>Closed</t>
        </is>
      </c>
      <c r="I183" s="46" t="inlineStr">
        <is>
          <t>No</t>
        </is>
      </c>
      <c r="J183" s="46" t="inlineStr">
        <is>
          <t>api/main.py:15 'frontend serving' TODO; no StaticFiles mount; nginx has no static location/SPA fallback.</t>
        </is>
      </c>
      <c r="K183" s="46" t="inlineStr">
        <is>
          <t>FastAPI/nginx serves the built bundle behind auth/CORS with deep-link fallback.</t>
        </is>
      </c>
      <c r="L183" s="46" t="inlineStr">
        <is>
          <t>SIM-378</t>
        </is>
      </c>
      <c r="M183" s="46" t="inlineStr">
        <is>
          <t>Tier P0.</t>
        </is>
      </c>
    </row>
    <row r="184">
      <c r="A184" s="46" t="inlineStr">
        <is>
          <t>SIM-382</t>
        </is>
      </c>
      <c r="B184" s="46" t="inlineStr">
        <is>
          <t>Backfill 8 phantom Phase-6 parent tickets + re-map SIM-127-131 deps</t>
        </is>
      </c>
      <c r="C184" s="46" t="inlineStr">
        <is>
          <t>Phase 6 - Frontend Foundation</t>
        </is>
      </c>
      <c r="D184" s="46" t="inlineStr">
        <is>
          <t>Gap</t>
        </is>
      </c>
      <c r="E184" s="46" t="inlineStr">
        <is>
          <t>P0</t>
        </is>
      </c>
      <c r="F184" s="46" t="inlineStr">
        <is>
          <t>M</t>
        </is>
      </c>
      <c r="G184" s="46" t="inlineStr">
        <is>
          <t>Product Manager + UX Designer + Backend Developer</t>
        </is>
      </c>
      <c r="H184" s="46" t="inlineStr">
        <is>
          <t>Closed</t>
        </is>
      </c>
      <c r="I184" s="46" t="inlineStr">
        <is>
          <t>No</t>
        </is>
      </c>
      <c r="J184" s="46" t="inlineStr">
        <is>
          <t>SIM-127-131 cite SIM-108/109/112/122-126 which do not exist anywhere in the backlog (QA-confirmed); the design chain is broken.</t>
        </is>
      </c>
      <c r="K184" s="46" t="inlineStr">
        <is>
          <t>File the 8 missing parents (multi-sub API, simulated_at/CI fields, raw per-iteration arrays, Day Summary/Game Page/mobile wireframes); re-point all SIM-127-131 deps so each resolves.</t>
        </is>
      </c>
      <c r="M184" s="46" t="inlineStr">
        <is>
          <t>Tier P0.</t>
        </is>
      </c>
    </row>
    <row r="185">
      <c r="A185" s="46" t="inlineStr">
        <is>
          <t>SIM-383</t>
        </is>
      </c>
      <c r="B185" s="46" t="inlineStr">
        <is>
          <t>Enrich GET /api/games/{date} with team/venue names + records</t>
        </is>
      </c>
      <c r="C185" s="46" t="inlineStr">
        <is>
          <t>Phase 6 - API Contract</t>
        </is>
      </c>
      <c r="D185" s="46" t="inlineStr">
        <is>
          <t>Feature</t>
        </is>
      </c>
      <c r="E185" s="46" t="inlineStr">
        <is>
          <t>P0</t>
        </is>
      </c>
      <c r="F185" s="46" t="inlineStr">
        <is>
          <t>M</t>
        </is>
      </c>
      <c r="G185" s="46" t="inlineStr">
        <is>
          <t>Backend Developer + Data Engineer</t>
        </is>
      </c>
      <c r="H185" s="46" t="inlineStr">
        <is>
          <t>Closed</t>
        </is>
      </c>
      <c r="I185" s="46" t="inlineStr">
        <is>
          <t>No</t>
        </is>
      </c>
      <c r="J185" s="46" t="inlineStr">
        <is>
          <t>GameCard returns bare integer IDs; raw.teams/raw.venues exist but unjoined; no standings/records table exists at all.</t>
        </is>
      </c>
      <c r="K185" s="46" t="inlineStr">
        <is>
          <t>JOIN team names/abbrevs + venue name; add a records source (new raw.team_records ingest or compute from finals) or explicitly defer.</t>
        </is>
      </c>
      <c r="M185" s="46" t="inlineStr">
        <is>
          <t>Tier P0.</t>
        </is>
      </c>
    </row>
    <row r="186">
      <c r="A186" s="46" t="inlineStr">
        <is>
          <t>SIM-384</t>
        </is>
      </c>
      <c r="B186" s="46" t="inlineStr">
        <is>
          <t>Single game-card aggregate endpoint + status enum (scheduled/live/final)</t>
        </is>
      </c>
      <c r="C186" s="46" t="inlineStr">
        <is>
          <t>Phase 6 - API Contract</t>
        </is>
      </c>
      <c r="D186" s="46" t="inlineStr">
        <is>
          <t>Feature</t>
        </is>
      </c>
      <c r="E186" s="46" t="inlineStr">
        <is>
          <t>P0</t>
        </is>
      </c>
      <c r="F186" s="46" t="inlineStr">
        <is>
          <t>M</t>
        </is>
      </c>
      <c r="G186" s="46" t="inlineStr">
        <is>
          <t>Backend Developer</t>
        </is>
      </c>
      <c r="H186" s="46" t="inlineStr">
        <is>
          <t>Closed</t>
        </is>
      </c>
      <c r="I186" s="46" t="inlineStr">
        <is>
          <t>No</t>
        </is>
      </c>
      <c r="J186" s="46" t="inlineStr">
        <is>
          <t>3-state cards + Game page need identity+status+sim-aggregate+odds in one call (today 2-4 calls); raw.games.status is unmapped to a card state.</t>
        </is>
      </c>
      <c r="K186" s="46" t="inlineStr">
        <is>
          <t>GET /games/{game_pk}/summary returns {identity, status_enum, GameSimSummaryLite, odds}.</t>
        </is>
      </c>
      <c r="L186" s="46" t="inlineStr">
        <is>
          <t>SIM-383</t>
        </is>
      </c>
      <c r="M186" s="46" t="inlineStr">
        <is>
          <t>Tier P0.</t>
        </is>
      </c>
    </row>
    <row r="187">
      <c r="A187" s="46" t="inlineStr">
        <is>
          <t>SIM-385</t>
        </is>
      </c>
      <c r="B187" s="46" t="inlineStr">
        <is>
          <t>Typed + documented WebSocket event schema</t>
        </is>
      </c>
      <c r="C187" s="46" t="inlineStr">
        <is>
          <t>Phase 6 - API Contract</t>
        </is>
      </c>
      <c r="D187" s="46" t="inlineStr">
        <is>
          <t>Feature</t>
        </is>
      </c>
      <c r="E187" s="46" t="inlineStr">
        <is>
          <t>P0</t>
        </is>
      </c>
      <c r="F187" s="46" t="inlineStr">
        <is>
          <t>M</t>
        </is>
      </c>
      <c r="G187" s="46" t="inlineStr">
        <is>
          <t>Backend Developer</t>
        </is>
      </c>
      <c r="H187" s="46" t="inlineStr">
        <is>
          <t>Closed</t>
        </is>
      </c>
      <c r="I187" s="46" t="inlineStr">
        <is>
          <t>No</t>
        </is>
      </c>
      <c r="J187" s="46" t="inlineStr">
        <is>
          <t>WS broadcasts are untyped raw dicts (game_state_update/resim_pending/ping/pong) with no Pydantic models or AsyncAPI doc.</t>
        </is>
      </c>
      <c r="K187" s="46" t="inlineStr">
        <is>
          <t>Pydantic model per WS message type; documented channel contract; typed-client consumable.</t>
        </is>
      </c>
      <c r="M187" s="46" t="inlineStr">
        <is>
          <t>Tier P0.</t>
        </is>
      </c>
    </row>
    <row r="188">
      <c r="A188" s="46" t="inlineStr">
        <is>
          <t>SIM-386</t>
        </is>
      </c>
      <c r="B188" s="46" t="inlineStr">
        <is>
          <t>Live in-progress game-state read path on the main API</t>
        </is>
      </c>
      <c r="C188" s="46" t="inlineStr">
        <is>
          <t>Phase 6 - API Contract</t>
        </is>
      </c>
      <c r="D188" s="46" t="inlineStr">
        <is>
          <t>Feature</t>
        </is>
      </c>
      <c r="E188" s="46" t="inlineStr">
        <is>
          <t>P0</t>
        </is>
      </c>
      <c r="F188" s="46" t="inlineStr">
        <is>
          <t>L</t>
        </is>
      </c>
      <c r="G188" s="46" t="inlineStr">
        <is>
          <t>Data Engineer + Backend Developer</t>
        </is>
      </c>
      <c r="H188" s="46" t="inlineStr">
        <is>
          <t>Closed</t>
        </is>
      </c>
      <c r="I188" s="46" t="inlineStr">
        <is>
          <t>No</t>
        </is>
      </c>
      <c r="J188" s="46" t="inlineStr">
        <is>
          <t>Live sim.lineup_state is only served by the separate pipeline app on :8001; api/routes/ has no live read path so in-progress cards are unreachable.</t>
        </is>
      </c>
      <c r="K188" s="46" t="inlineStr">
        <is>
          <t>Main API exposes current live game state per game_pk (read sim.lineup_state or proxy) + freshness timestamp.</t>
        </is>
      </c>
      <c r="L188" s="46" t="inlineStr">
        <is>
          <t>SIM-384</t>
        </is>
      </c>
      <c r="M188" s="46" t="inlineStr">
        <is>
          <t>Tier P0.</t>
        </is>
      </c>
    </row>
    <row r="189">
      <c r="A189" s="46" t="inlineStr">
        <is>
          <t>SIM-387</t>
        </is>
      </c>
      <c r="B189" s="46" t="inlineStr">
        <is>
          <t>Fix dead calibration wiring at the betting edge/CLV call site</t>
        </is>
      </c>
      <c r="C189" s="46" t="inlineStr">
        <is>
          <t>Phase 6 - Betting</t>
        </is>
      </c>
      <c r="D189" s="46" t="inlineStr">
        <is>
          <t>Bug</t>
        </is>
      </c>
      <c r="E189" s="46" t="inlineStr">
        <is>
          <t>P0</t>
        </is>
      </c>
      <c r="F189" s="46" t="inlineStr">
        <is>
          <t>S</t>
        </is>
      </c>
      <c r="G189" s="46" t="inlineStr">
        <is>
          <t>Backend Developer + ML Engineer</t>
        </is>
      </c>
      <c r="H189" s="46" t="inlineStr">
        <is>
          <t>Closed</t>
        </is>
      </c>
      <c r="I189" s="46" t="inlineStr">
        <is>
          <t>No</t>
        </is>
      </c>
      <c r="J189" s="46" t="inlineStr">
        <is>
          <t>betting.py:329 calls win_probability(summary) with no calibration_map= so moneyline edges/CLV use the IDENTITY map though app.state.calibration_map is loaded at boot.</t>
        </is>
      </c>
      <c r="K189" s="46" t="inlineStr">
        <is>
          <t>Thread request.app.state.calibration_map; response surfaces the map name; regression asserts a non-identity map changes the edge.</t>
        </is>
      </c>
      <c r="M189" s="46" t="inlineStr">
        <is>
          <t>Tier P0. Defect today.</t>
        </is>
      </c>
    </row>
    <row r="190">
      <c r="A190" s="46" t="inlineStr">
        <is>
          <t>SIM-388</t>
        </is>
      </c>
      <c r="B190" s="46" t="inlineStr">
        <is>
          <t>Multi-substitution override (array body) - unblocks SIM-128</t>
        </is>
      </c>
      <c r="C190" s="46" t="inlineStr">
        <is>
          <t>Phase 6 - API Contract</t>
        </is>
      </c>
      <c r="D190" s="46" t="inlineStr">
        <is>
          <t>Feature</t>
        </is>
      </c>
      <c r="E190" s="46" t="inlineStr">
        <is>
          <t>P0</t>
        </is>
      </c>
      <c r="F190" s="46" t="inlineStr">
        <is>
          <t>M</t>
        </is>
      </c>
      <c r="G190" s="46" t="inlineStr">
        <is>
          <t>Backend Developer</t>
        </is>
      </c>
      <c r="H190" s="46" t="inlineStr">
        <is>
          <t>Closed</t>
        </is>
      </c>
      <c r="I190" s="46" t="inlineStr">
        <is>
          <t>No</t>
        </is>
      </c>
      <c r="J190" s="46" t="inlineStr">
        <is>
          <t>RosterOverride accepts a single pitcher/bat_hand + full lineup arrays only; cannot express N discrete substitutions.</t>
        </is>
      </c>
      <c r="K190" s="46" t="inlineStr">
        <is>
          <t>substitutions: list[Substitution] (slot/out/in/role) applied in order; back-compatible.</t>
        </is>
      </c>
      <c r="M190" s="46" t="inlineStr">
        <is>
          <t>Tier P0.</t>
        </is>
      </c>
    </row>
    <row r="191">
      <c r="A191" s="46" t="inlineStr">
        <is>
          <t>SIM-389</t>
        </is>
      </c>
      <c r="B191" s="46" t="inlineStr">
        <is>
          <t>Enforce auth on data/expensive routes + browser session model + fix dev CORS</t>
        </is>
      </c>
      <c r="C191" s="46" t="inlineStr">
        <is>
          <t>Phase 6 - API Contract</t>
        </is>
      </c>
      <c r="D191" s="46" t="inlineStr">
        <is>
          <t>Security</t>
        </is>
      </c>
      <c r="E191" s="46" t="inlineStr">
        <is>
          <t>P0</t>
        </is>
      </c>
      <c r="F191" s="46" t="inlineStr">
        <is>
          <t>M</t>
        </is>
      </c>
      <c r="G191" s="46" t="inlineStr">
        <is>
          <t>Backend Developer + QA/DevOps</t>
        </is>
      </c>
      <c r="H191" s="46" t="inlineStr">
        <is>
          <t>Closed</t>
        </is>
      </c>
      <c r="I191" s="46" t="inlineStr">
        <is>
          <t>No</t>
        </is>
      </c>
      <c r="J191" s="46" t="inlineStr">
        <is>
          <t>require_api_key is defined but applied to zero routes; all endpoints open; dev CORS is ['*']+credentials.</t>
        </is>
      </c>
      <c r="K191" s="46" t="inlineStr">
        <is>
          <t>Decide SPA auth (session/JWT/cookie or public-read); apply to mutating/expensive routes; WS auth handshake; remove the *+credentials footgun.</t>
        </is>
      </c>
      <c r="M191" s="46" t="inlineStr">
        <is>
          <t>Tier P0. Defect today.</t>
        </is>
      </c>
    </row>
    <row r="192">
      <c r="A192" s="46" t="inlineStr">
        <is>
          <t>SIM-390</t>
        </is>
      </c>
      <c r="B192" s="46" t="inlineStr">
        <is>
          <t>Player-prop edge/signal API endpoints</t>
        </is>
      </c>
      <c r="C192" s="46" t="inlineStr">
        <is>
          <t>Phase 6 - Betting</t>
        </is>
      </c>
      <c r="D192" s="46" t="inlineStr">
        <is>
          <t>Feature</t>
        </is>
      </c>
      <c r="E192" s="46" t="inlineStr">
        <is>
          <t>P0</t>
        </is>
      </c>
      <c r="F192" s="46" t="inlineStr">
        <is>
          <t>L</t>
        </is>
      </c>
      <c r="G192" s="46" t="inlineStr">
        <is>
          <t>Backend Developer + Betting Analyst</t>
        </is>
      </c>
      <c r="H192" s="46" t="inlineStr">
        <is>
          <t>Closed</t>
        </is>
      </c>
      <c r="I192" s="46" t="inlineStr">
        <is>
          <t>No</t>
        </is>
      </c>
      <c r="J192" s="46" t="inlineStr">
        <is>
          <t>prop_edge_report + p_over exist + tested but no route calls them; props only surface as boxscore means.</t>
        </is>
      </c>
      <c r="K192" s="46" t="inlineStr">
        <is>
          <t>GET /games/{pk}/props/edges (+signals) returns per-player/per-prop EdgeReportModel joining PropDistributionSet to get_prop_odds.</t>
        </is>
      </c>
      <c r="L192" s="46" t="inlineStr">
        <is>
          <t>SIM-387</t>
        </is>
      </c>
      <c r="M192" s="46" t="inlineStr">
        <is>
          <t>Tier P0.</t>
        </is>
      </c>
    </row>
    <row r="193">
      <c r="A193" s="46" t="inlineStr">
        <is>
          <t>SIM-391</t>
        </is>
      </c>
      <c r="B193" s="46" t="inlineStr">
        <is>
          <t>Build Day Summary page (date nav + game-count badge + 3-state cards)</t>
        </is>
      </c>
      <c r="C193" s="46" t="inlineStr">
        <is>
          <t>Phase 6 - Frontend Build</t>
        </is>
      </c>
      <c r="D193" s="46" t="inlineStr">
        <is>
          <t>Feature</t>
        </is>
      </c>
      <c r="E193" s="46" t="inlineStr">
        <is>
          <t>P1</t>
        </is>
      </c>
      <c r="F193" s="46" t="inlineStr">
        <is>
          <t>L</t>
        </is>
      </c>
      <c r="G193" s="46" t="inlineStr">
        <is>
          <t>UX Designer + Backend Developer</t>
        </is>
      </c>
      <c r="H193" s="46" t="inlineStr">
        <is>
          <t>Closed</t>
        </is>
      </c>
      <c r="I193" s="46" t="inlineStr">
        <is>
          <t>No</t>
        </is>
      </c>
      <c r="J193" s="46" t="inlineStr">
        <is>
          <t>Spec'd in agent_team.md/README but unbuilt; the primary entry screen.</t>
        </is>
      </c>
      <c r="K193" s="46" t="inlineStr">
        <is>
          <t>Date back/fwd/today/picker; count badge; in-progress/completed/not-started cards render from live API.</t>
        </is>
      </c>
      <c r="L193" s="46" t="inlineStr">
        <is>
          <t>SIM-380, SIM-383, SIM-384</t>
        </is>
      </c>
      <c r="M193" s="46" t="inlineStr">
        <is>
          <t>Tier P1.</t>
        </is>
      </c>
    </row>
    <row r="194">
      <c r="A194" s="46" t="inlineStr">
        <is>
          <t>SIM-392</t>
        </is>
      </c>
      <c r="B194" s="46" t="inlineStr">
        <is>
          <t>Build LinescoreGraphic + BaseballFieldGraphic SVG</t>
        </is>
      </c>
      <c r="C194" s="46" t="inlineStr">
        <is>
          <t>Phase 6 - Frontend Build</t>
        </is>
      </c>
      <c r="D194" s="46" t="inlineStr">
        <is>
          <t>Feature</t>
        </is>
      </c>
      <c r="E194" s="46" t="inlineStr">
        <is>
          <t>P1</t>
        </is>
      </c>
      <c r="F194" s="46" t="inlineStr">
        <is>
          <t>M</t>
        </is>
      </c>
      <c r="G194" s="46" t="inlineStr">
        <is>
          <t>UX Designer + Backend Developer</t>
        </is>
      </c>
      <c r="H194" s="46" t="inlineStr">
        <is>
          <t>Closed</t>
        </is>
      </c>
      <c r="I194" s="46" t="inlineStr">
        <is>
          <t>No</t>
        </is>
      </c>
      <c r="J194" s="46" t="inlineStr">
        <is>
          <t>Inning grid+R/H/E and 9-position SVG field are unbuilt; must handle partial/extra/tie innings + label collisions.</t>
        </is>
      </c>
      <c r="K194" s="46" t="inlineStr">
        <is>
          <t>Linescore handles partial/extra/tie 'x'; field SVG places 9 fielders+batter+runners with labels; degrades gracefully when fielders absent.</t>
        </is>
      </c>
      <c r="L194" s="46" t="inlineStr">
        <is>
          <t>SIM-380, SIM-386</t>
        </is>
      </c>
      <c r="M194" s="46" t="inlineStr">
        <is>
          <t>Tier P1.</t>
        </is>
      </c>
    </row>
    <row r="195">
      <c r="A195" s="46" t="inlineStr">
        <is>
          <t>SIM-393</t>
        </is>
      </c>
      <c r="B195" s="46" t="inlineStr">
        <is>
          <t>Build Game page (play-by-play + pitch drill-down + per-player sim panels)</t>
        </is>
      </c>
      <c r="C195" s="46" t="inlineStr">
        <is>
          <t>Phase 6 - Frontend Build</t>
        </is>
      </c>
      <c r="D195" s="46" t="inlineStr">
        <is>
          <t>Feature</t>
        </is>
      </c>
      <c r="E195" s="46" t="inlineStr">
        <is>
          <t>P1</t>
        </is>
      </c>
      <c r="F195" s="46" t="inlineStr">
        <is>
          <t>L</t>
        </is>
      </c>
      <c r="G195" s="46" t="inlineStr">
        <is>
          <t>UX Designer + Backend Developer</t>
        </is>
      </c>
      <c r="H195" s="46" t="inlineStr">
        <is>
          <t>Closed</t>
        </is>
      </c>
      <c r="I195" s="46" t="inlineStr">
        <is>
          <t>No</t>
        </is>
      </c>
      <c r="J195" s="46" t="inlineStr">
        <is>
          <t>The core game view is unbuilt; needs WS state machine + list virtualization.</t>
        </is>
      </c>
      <c r="K195" s="46" t="inlineStr">
        <is>
          <t>Virtualized PBP; pitch drill-down to /state/{at_bat}/{pitch}; per-player projection panels; live WS updates.</t>
        </is>
      </c>
      <c r="L195" s="46" t="inlineStr">
        <is>
          <t>SIM-391, SIM-385</t>
        </is>
      </c>
      <c r="M195" s="46" t="inlineStr">
        <is>
          <t>Tier P1.</t>
        </is>
      </c>
    </row>
    <row r="196">
      <c r="A196" s="46" t="inlineStr">
        <is>
          <t>SIM-394</t>
        </is>
      </c>
      <c r="B196" s="46" t="inlineStr">
        <is>
          <t>Build per-player boxscore (100-iter averages + distribution views)</t>
        </is>
      </c>
      <c r="C196" s="46" t="inlineStr">
        <is>
          <t>Phase 6 - Frontend Build</t>
        </is>
      </c>
      <c r="D196" s="46" t="inlineStr">
        <is>
          <t>Feature</t>
        </is>
      </c>
      <c r="E196" s="46" t="inlineStr">
        <is>
          <t>P1</t>
        </is>
      </c>
      <c r="F196" s="46" t="inlineStr">
        <is>
          <t>M</t>
        </is>
      </c>
      <c r="G196" s="46" t="inlineStr">
        <is>
          <t>UX Designer + Betting Analyst</t>
        </is>
      </c>
      <c r="H196" s="46" t="inlineStr">
        <is>
          <t>Closed</t>
        </is>
      </c>
      <c r="I196" s="46" t="inlineStr">
        <is>
          <t>No</t>
        </is>
      </c>
      <c r="J196" s="46" t="inlineStr">
        <is>
          <t>Averages alone lose prop signal; distribution views (subsumes SIM-129) unbuilt.</t>
        </is>
      </c>
      <c r="K196" s="46" t="inlineStr">
        <is>
          <t>Per-player AB/H/HR/RBI + IP/K/BB/ER means; prop stats show avg+range with the line marker.</t>
        </is>
      </c>
      <c r="L196" s="46" t="inlineStr">
        <is>
          <t>SIM-380, SIM-390</t>
        </is>
      </c>
      <c r="M196" s="46" t="inlineStr">
        <is>
          <t>Tier P1.</t>
        </is>
      </c>
    </row>
    <row r="197">
      <c r="A197" s="46" t="inlineStr">
        <is>
          <t>SIM-395</t>
        </is>
      </c>
      <c r="B197" s="46" t="inlineStr">
        <is>
          <t>Build betting card surface (ML/spread/total + winning-side + +EV signal)</t>
        </is>
      </c>
      <c r="C197" s="46" t="inlineStr">
        <is>
          <t>Phase 6 - Frontend Build</t>
        </is>
      </c>
      <c r="D197" s="46" t="inlineStr">
        <is>
          <t>Feature</t>
        </is>
      </c>
      <c r="E197" s="46" t="inlineStr">
        <is>
          <t>P1</t>
        </is>
      </c>
      <c r="F197" s="46" t="inlineStr">
        <is>
          <t>L</t>
        </is>
      </c>
      <c r="G197" s="46" t="inlineStr">
        <is>
          <t>UX Designer + Betting Analyst</t>
        </is>
      </c>
      <c r="H197" s="46" t="inlineStr">
        <is>
          <t>Closed</t>
        </is>
      </c>
      <c r="I197" s="46" t="inlineStr">
        <is>
          <t>No</t>
        </is>
      </c>
      <c r="J197" s="46" t="inlineStr">
        <is>
          <t>API returns edges+ranked signals but nothing renders them; must flag mock-vs-real odds.</t>
        </is>
      </c>
      <c r="K197" s="46" t="inlineStr">
        <is>
          <t>Card renders 3 two-way markets with +edge side highlighted; signal shows stake% + offered price + rank + odds_source indicator.</t>
        </is>
      </c>
      <c r="L197" s="46" t="inlineStr">
        <is>
          <t>SIM-380, SIM-390</t>
        </is>
      </c>
      <c r="M197" s="46" t="inlineStr">
        <is>
          <t>Tier P1.</t>
        </is>
      </c>
    </row>
    <row r="198">
      <c r="A198" s="46" t="inlineStr">
        <is>
          <t>SIM-396</t>
        </is>
      </c>
      <c r="B198" s="46" t="inlineStr">
        <is>
          <t>Build CLV / line-movement time-series chart</t>
        </is>
      </c>
      <c r="C198" s="46" t="inlineStr">
        <is>
          <t>Phase 6 - Frontend Build</t>
        </is>
      </c>
      <c r="D198" s="46" t="inlineStr">
        <is>
          <t>Feature</t>
        </is>
      </c>
      <c r="E198" s="46" t="inlineStr">
        <is>
          <t>P1</t>
        </is>
      </c>
      <c r="F198" s="46" t="inlineStr">
        <is>
          <t>M</t>
        </is>
      </c>
      <c r="G198" s="46" t="inlineStr">
        <is>
          <t>UX Designer + Betting Analyst</t>
        </is>
      </c>
      <c r="H198" s="46" t="inlineStr">
        <is>
          <t>Closed</t>
        </is>
      </c>
      <c r="I198" s="46" t="inlineStr">
        <is>
          <t>No</t>
        </is>
      </c>
      <c r="J198" s="46" t="inlineStr">
        <is>
          <t>/line-movement series + /clv snapshot exist but nothing plots them.</t>
        </is>
      </c>
      <c r="K198" s="46" t="inlineStr">
        <is>
          <t>Implied-prob time-series with close marked, beat_close styling, sharp+steam badges; 503 (pool absent) handled.</t>
        </is>
      </c>
      <c r="L198" s="46" t="inlineStr">
        <is>
          <t>SIM-395</t>
        </is>
      </c>
      <c r="M198" s="46" t="inlineStr">
        <is>
          <t>Tier P1.</t>
        </is>
      </c>
    </row>
    <row r="199">
      <c r="A199" s="46" t="inlineStr">
        <is>
          <t>SIM-397</t>
        </is>
      </c>
      <c r="B199" s="46" t="inlineStr">
        <is>
          <t>Managerial override UI - v1 single-sub (ships early)</t>
        </is>
      </c>
      <c r="C199" s="46" t="inlineStr">
        <is>
          <t>Phase 6 - Frontend Build</t>
        </is>
      </c>
      <c r="D199" s="46" t="inlineStr">
        <is>
          <t>Feature</t>
        </is>
      </c>
      <c r="E199" s="46" t="inlineStr">
        <is>
          <t>P1</t>
        </is>
      </c>
      <c r="F199" s="46" t="inlineStr">
        <is>
          <t>M</t>
        </is>
      </c>
      <c r="G199" s="46" t="inlineStr">
        <is>
          <t>UX Designer + Backend Developer</t>
        </is>
      </c>
      <c r="H199" s="46" t="inlineStr">
        <is>
          <t>Closed</t>
        </is>
      </c>
      <c r="I199" s="46" t="inlineStr">
        <is>
          <t>No</t>
        </is>
      </c>
      <c r="J199" s="46" t="inlineStr">
        <is>
          <t>The override is the most complex UI + the architecture driver; a single-sub v1 delivers value before the staged queue.</t>
        </is>
      </c>
      <c r="K199" s="46" t="inlineStr">
        <is>
          <t>Single substitution -&gt; one /simulate/with_override; amber override indicator; before/after compare.</t>
        </is>
      </c>
      <c r="L199" s="46" t="inlineStr">
        <is>
          <t>SIM-393</t>
        </is>
      </c>
      <c r="M199" s="46" t="inlineStr">
        <is>
          <t>Tier P1. v1 of SIM-128.</t>
        </is>
      </c>
    </row>
    <row r="200">
      <c r="A200" s="46" t="inlineStr">
        <is>
          <t>SIM-398</t>
        </is>
      </c>
      <c r="B200" s="46" t="inlineStr">
        <is>
          <t>Managerial override UI - v2 staged queue + undo + multi-change (SIM-128 build)</t>
        </is>
      </c>
      <c r="C200" s="46" t="inlineStr">
        <is>
          <t>Phase 6 - Frontend Build</t>
        </is>
      </c>
      <c r="D200" s="46" t="inlineStr">
        <is>
          <t>Feature</t>
        </is>
      </c>
      <c r="E200" s="46" t="inlineStr">
        <is>
          <t>P1</t>
        </is>
      </c>
      <c r="F200" s="46" t="inlineStr">
        <is>
          <t>L</t>
        </is>
      </c>
      <c r="G200" s="46" t="inlineStr">
        <is>
          <t>UX Designer + Backend Developer</t>
        </is>
      </c>
      <c r="H200" s="46" t="inlineStr">
        <is>
          <t>Closed</t>
        </is>
      </c>
      <c r="I200" s="46" t="inlineStr">
        <is>
          <t>No</t>
        </is>
      </c>
      <c r="J200" s="46" t="inlineStr">
        <is>
          <t>SIM-128 design exists; implementation doesn't; needs the multi-sub endpoint.</t>
        </is>
      </c>
      <c r="K200" s="46" t="inlineStr">
        <is>
          <t>Staged multi-change with remove/undo; Confirm-All -&gt; one multi-sub call; 4 amber-indicator rules; side-by-side compare.</t>
        </is>
      </c>
      <c r="L200" s="46" t="inlineStr">
        <is>
          <t>SIM-397, SIM-388</t>
        </is>
      </c>
      <c r="M200" s="46" t="inlineStr">
        <is>
          <t>Tier P1. Implements SIM-128.</t>
        </is>
      </c>
    </row>
    <row r="201">
      <c r="A201" s="46" t="inlineStr">
        <is>
          <t>SIM-399</t>
        </is>
      </c>
      <c r="B201" s="46" t="inlineStr">
        <is>
          <t>Frontend a11y + responsive/mobile + cross-browser gate</t>
        </is>
      </c>
      <c r="C201" s="46" t="inlineStr">
        <is>
          <t>Phase 6 - Frontend Build</t>
        </is>
      </c>
      <c r="D201" s="46" t="inlineStr">
        <is>
          <t>Gap</t>
        </is>
      </c>
      <c r="E201" s="46" t="inlineStr">
        <is>
          <t>P1</t>
        </is>
      </c>
      <c r="F201" s="46" t="inlineStr">
        <is>
          <t>M</t>
        </is>
      </c>
      <c r="G201" s="46" t="inlineStr">
        <is>
          <t>UX Designer + QA/DevOps</t>
        </is>
      </c>
      <c r="H201" s="46" t="inlineStr">
        <is>
          <t>Closed</t>
        </is>
      </c>
      <c r="I201" s="46" t="inlineStr">
        <is>
          <t>No</t>
        </is>
      </c>
      <c r="J201" s="46" t="inlineStr">
        <is>
          <t>No a11y/responsive/cross-browser acceptance exists; agent_team names Chrome/FF/Safari desktop+mobile.</t>
        </is>
      </c>
      <c r="K201" s="46" t="inlineStr">
        <is>
          <t>Keyboard nav + ARIA on interactive components; mobile breakpoints; Chrome/FF/Safari smoke in CI.</t>
        </is>
      </c>
      <c r="L201" s="46" t="inlineStr">
        <is>
          <t>SIM-391</t>
        </is>
      </c>
      <c r="M201" s="46" t="inlineStr">
        <is>
          <t>Tier P1.</t>
        </is>
      </c>
    </row>
    <row r="202">
      <c r="A202" s="46" t="inlineStr">
        <is>
          <t>SIM-400</t>
        </is>
      </c>
      <c r="B202" s="46" t="inlineStr">
        <is>
          <t>Cross-browser E2E harness (Playwright)</t>
        </is>
      </c>
      <c r="C202" s="46" t="inlineStr">
        <is>
          <t>Phase 6 - Frontend Build</t>
        </is>
      </c>
      <c r="D202" s="46" t="inlineStr">
        <is>
          <t>Test</t>
        </is>
      </c>
      <c r="E202" s="46" t="inlineStr">
        <is>
          <t>P1</t>
        </is>
      </c>
      <c r="F202" s="46" t="inlineStr">
        <is>
          <t>L</t>
        </is>
      </c>
      <c r="G202" s="46" t="inlineStr">
        <is>
          <t>QA/DevOps</t>
        </is>
      </c>
      <c r="H202" s="46" t="inlineStr">
        <is>
          <t>Closed</t>
        </is>
      </c>
      <c r="I202" s="46" t="inlineStr">
        <is>
          <t>No</t>
        </is>
      </c>
      <c r="J202" s="46" t="inlineStr">
        <is>
          <t>No browser-driven tests; current e2e is FastAPI TestClient only; live WS UI untested.</t>
        </is>
      </c>
      <c r="K202" s="46" t="inlineStr">
        <is>
          <t>Playwright chromium/firefox/webkit + mobile; smoke flow (load sim, linescore, WS update) in CI against the dockerized app.</t>
        </is>
      </c>
      <c r="L202" s="46" t="inlineStr">
        <is>
          <t>SIM-379</t>
        </is>
      </c>
      <c r="M202" s="46" t="inlineStr">
        <is>
          <t>Tier P1.</t>
        </is>
      </c>
    </row>
    <row r="203">
      <c r="A203" s="46" t="inlineStr">
        <is>
          <t>SIM-401</t>
        </is>
      </c>
      <c r="B203" s="46" t="inlineStr">
        <is>
          <t>Frontend deploy (static artifacts + nginx serving + CD to ghcr)</t>
        </is>
      </c>
      <c r="C203" s="46" t="inlineStr">
        <is>
          <t>Phase 6 - Frontend Build</t>
        </is>
      </c>
      <c r="D203" s="46" t="inlineStr">
        <is>
          <t>Infra</t>
        </is>
      </c>
      <c r="E203" s="46" t="inlineStr">
        <is>
          <t>P1</t>
        </is>
      </c>
      <c r="F203" s="46" t="inlineStr">
        <is>
          <t>M</t>
        </is>
      </c>
      <c r="G203" s="46" t="inlineStr">
        <is>
          <t>QA/DevOps + Backend Developer</t>
        </is>
      </c>
      <c r="H203" s="46" t="inlineStr">
        <is>
          <t>Open</t>
        </is>
      </c>
      <c r="I203" s="46" t="inlineStr">
        <is>
          <t>Yes</t>
        </is>
      </c>
      <c r="J203" s="46" t="inlineStr">
        <is>
          <t>nginx proxies all to app:8000 (no static location/SPA fallback); no frontend build stage; docker-release only pushes the API image.</t>
        </is>
      </c>
      <c r="K203" s="46" t="inlineStr">
        <is>
          <t>nginx serves built assets with SPA try_files; frontend build stage/image; docker-release pushes the frontend artifact to ghcr.</t>
        </is>
      </c>
      <c r="L203" s="46" t="inlineStr">
        <is>
          <t>SIM-381</t>
        </is>
      </c>
      <c r="M203" s="46" t="inlineStr">
        <is>
          <t>Tier P1.</t>
        </is>
      </c>
    </row>
    <row r="204">
      <c r="A204" s="46" t="inlineStr">
        <is>
          <t>SIM-402</t>
        </is>
      </c>
      <c r="B204" s="46" t="inlineStr">
        <is>
          <t>Real-DB /simulate 2s/30s SLA verification on dedicated hardware</t>
        </is>
      </c>
      <c r="C204" s="46" t="inlineStr">
        <is>
          <t>Phase 6 - Verification</t>
        </is>
      </c>
      <c r="D204" s="46" t="inlineStr">
        <is>
          <t>Perf</t>
        </is>
      </c>
      <c r="E204" s="46" t="inlineStr">
        <is>
          <t>P1</t>
        </is>
      </c>
      <c r="F204" s="46" t="inlineStr">
        <is>
          <t>M</t>
        </is>
      </c>
      <c r="G204" s="46" t="inlineStr">
        <is>
          <t>Performance Engineer + QA/DevOps</t>
        </is>
      </c>
      <c r="H204" s="46" t="inlineStr">
        <is>
          <t>Open</t>
        </is>
      </c>
      <c r="I204" s="46" t="inlineStr">
        <is>
          <t>No</t>
        </is>
      </c>
      <c r="J204" s="46" t="inlineStr">
        <is>
          <t>The SLA is asserted only over the no-DB rng factory on shared CI; bench documents it as a LOWER BOUND; real served latency unknown.</t>
        </is>
      </c>
      <c r="K204" s="46" t="inlineStr">
        <is>
          <t>Perf job with DuckDB profiles+FAISS tiles + production factory + PERF_STRICT=1; gate passes or is re-baselined on real served latency.</t>
        </is>
      </c>
      <c r="M204" s="46" t="inlineStr">
        <is>
          <t>Tier P1. Live-env debt.</t>
        </is>
      </c>
    </row>
    <row r="205">
      <c r="A205" s="46" t="inlineStr">
        <is>
          <t>SIM-403</t>
        </is>
      </c>
      <c r="B205" s="46" t="inlineStr">
        <is>
          <t>Enable real parallelism + wire shared-memory tiles into the live runner</t>
        </is>
      </c>
      <c r="C205" s="46" t="inlineStr">
        <is>
          <t>Phase 6 - Verification</t>
        </is>
      </c>
      <c r="D205" s="46" t="inlineStr">
        <is>
          <t>Perf</t>
        </is>
      </c>
      <c r="E205" s="46" t="inlineStr">
        <is>
          <t>P1</t>
        </is>
      </c>
      <c r="F205" s="46" t="inlineStr">
        <is>
          <t>M</t>
        </is>
      </c>
      <c r="G205" s="46" t="inlineStr">
        <is>
          <t>Backend Developer + Performance Engineer</t>
        </is>
      </c>
      <c r="H205" s="46" t="inlineStr">
        <is>
          <t>Open</t>
        </is>
      </c>
      <c r="I205" s="46" t="inlineStr">
        <is>
          <t>Yes</t>
        </is>
      </c>
      <c r="J205" s="46" t="inlineStr">
        <is>
          <t>SIM_RUNNER_WORKERS=1 serializes /simulate; lifespan BatchRunner built without shared_arrays= so each worker reloads ~290MB.</t>
        </is>
      </c>
      <c r="K205" s="46" t="inlineStr">
        <is>
          <t>Tune workers default; publish shared arrays into the lifespan runner; p50/p95 measured at 30 concurrent games; peak RSS asserted.</t>
        </is>
      </c>
      <c r="L205" s="46" t="inlineStr">
        <is>
          <t>SIM-402</t>
        </is>
      </c>
      <c r="M205" s="46" t="inlineStr">
        <is>
          <t>Tier P1.</t>
        </is>
      </c>
    </row>
    <row r="206">
      <c r="A206" s="46" t="inlineStr">
        <is>
          <t>SIM-404</t>
        </is>
      </c>
      <c r="B206" s="46" t="inlineStr">
        <is>
          <t>Stress / concurrency / leak suite (100 sims x 30 concurrent games)</t>
        </is>
      </c>
      <c r="C206" s="46" t="inlineStr">
        <is>
          <t>Phase 6 - Verification</t>
        </is>
      </c>
      <c r="D206" s="46" t="inlineStr">
        <is>
          <t>Test</t>
        </is>
      </c>
      <c r="E206" s="46" t="inlineStr">
        <is>
          <t>P1</t>
        </is>
      </c>
      <c r="F206" s="46" t="inlineStr">
        <is>
          <t>L</t>
        </is>
      </c>
      <c r="G206" s="46" t="inlineStr">
        <is>
          <t>QA/DevOps + Performance Engineer</t>
        </is>
      </c>
      <c r="H206" s="46" t="inlineStr">
        <is>
          <t>Open</t>
        </is>
      </c>
      <c r="I206" s="46" t="inlineStr">
        <is>
          <t>Yes</t>
        </is>
      </c>
      <c r="J206" s="46" t="inlineStr">
        <is>
          <t>No concurrency/stress/leak test exists; long-lived server risks worker/segment/FD/connection leaks + unlink races.</t>
        </is>
      </c>
      <c r="K206" s="46" t="inlineStr">
        <is>
          <t>30 concurrent games x 100 iters; stable RSS across rounds; no FD/segment leaks.</t>
        </is>
      </c>
      <c r="L206" s="46" t="inlineStr">
        <is>
          <t>SIM-403</t>
        </is>
      </c>
      <c r="M206" s="46" t="inlineStr">
        <is>
          <t>Tier P1.</t>
        </is>
      </c>
    </row>
    <row r="207">
      <c r="A207" s="46" t="inlineStr">
        <is>
          <t>SIM-405</t>
        </is>
      </c>
      <c r="B207" s="46" t="inlineStr">
        <is>
          <t>Real odds-provider implementation behind the SIM-370 seam</t>
        </is>
      </c>
      <c r="C207" s="46" t="inlineStr">
        <is>
          <t>Phase 6 - Verification</t>
        </is>
      </c>
      <c r="D207" s="46" t="inlineStr">
        <is>
          <t>Feature</t>
        </is>
      </c>
      <c r="E207" s="46" t="inlineStr">
        <is>
          <t>P1</t>
        </is>
      </c>
      <c r="F207" s="46" t="inlineStr">
        <is>
          <t>L</t>
        </is>
      </c>
      <c r="G207" s="46" t="inlineStr">
        <is>
          <t>Data Engineer + Betting Analyst</t>
        </is>
      </c>
      <c r="H207" s="46" t="inlineStr">
        <is>
          <t>Open</t>
        </is>
      </c>
      <c r="I207" s="46" t="inlineStr">
        <is>
          <t>No</t>
        </is>
      </c>
      <c r="J207" s="46" t="inlineStr">
        <is>
          <t>RealOddsAPIProvider is a stub raising _not_configured(); all UI odds/edges/CLV are deterministic mock; real CLV needs persisted opening-&gt;closing odds.</t>
        </is>
      </c>
      <c r="K207" s="46" t="inlineStr">
        <is>
          <t>Implement get_odds/get_prop_odds against a live feed in the documented shape; ODDS_PROVIDER=real populates raw.game_odds/prop_odds; mock stays test default.</t>
        </is>
      </c>
      <c r="M207" s="46" t="inlineStr">
        <is>
          <t>Tier P1. Live-env debt.</t>
        </is>
      </c>
    </row>
    <row r="208">
      <c r="A208" s="46" t="inlineStr">
        <is>
          <t>SIM-406</t>
        </is>
      </c>
      <c r="B208" s="46" t="inlineStr">
        <is>
          <t>Fit + persist a CalibrationReport over real data + apply to all engines</t>
        </is>
      </c>
      <c r="C208" s="46" t="inlineStr">
        <is>
          <t>Phase 6 - Verification</t>
        </is>
      </c>
      <c r="D208" s="46" t="inlineStr">
        <is>
          <t>Feature</t>
        </is>
      </c>
      <c r="E208" s="46" t="inlineStr">
        <is>
          <t>P1</t>
        </is>
      </c>
      <c r="F208" s="46" t="inlineStr">
        <is>
          <t>L</t>
        </is>
      </c>
      <c r="G208" s="46" t="inlineStr">
        <is>
          <t>ML Engineer</t>
        </is>
      </c>
      <c r="H208" s="46" t="inlineStr">
        <is>
          <t>Open</t>
        </is>
      </c>
      <c r="I208" s="46" t="inlineStr">
        <is>
          <t>Yes</t>
        </is>
      </c>
      <c r="J208" s="46" t="inlineStr">
        <is>
          <t>Nothing fits Tier-1/2 + the reliability curve over real outcomes or persists it; apply_calibration only exists on the pitcher engine.</t>
        </is>
      </c>
      <c r="K208" s="46" t="inlineStr">
        <is>
          <t>CLI fits over seasons -&gt; to_json at CALIBRATION_REPORT_PATH; build_all_engines applies it; ECE/Brier logged.</t>
        </is>
      </c>
      <c r="L208" s="46" t="inlineStr">
        <is>
          <t>SIM-408</t>
        </is>
      </c>
      <c r="M208" s="46" t="inlineStr">
        <is>
          <t>Tier P1. SIM-220 debt.</t>
        </is>
      </c>
    </row>
    <row r="209">
      <c r="A209" s="46" t="inlineStr">
        <is>
          <t>SIM-407</t>
        </is>
      </c>
      <c r="B209" s="46" t="inlineStr">
        <is>
          <t>Validate prop PMFs + run ablation/walk-forward over real outcomes</t>
        </is>
      </c>
      <c r="C209" s="46" t="inlineStr">
        <is>
          <t>Phase 6 - Verification</t>
        </is>
      </c>
      <c r="D209" s="46" t="inlineStr">
        <is>
          <t>Validation</t>
        </is>
      </c>
      <c r="E209" s="46" t="inlineStr">
        <is>
          <t>P1</t>
        </is>
      </c>
      <c r="F209" s="46" t="inlineStr">
        <is>
          <t>M</t>
        </is>
      </c>
      <c r="G209" s="46" t="inlineStr">
        <is>
          <t>ML Engineer + Betting Analyst</t>
        </is>
      </c>
      <c r="H209" s="46" t="inlineStr">
        <is>
          <t>Open</t>
        </is>
      </c>
      <c r="I209" s="46" t="inlineStr">
        <is>
          <t>Yes</t>
        </is>
      </c>
      <c r="J209" s="46" t="inlineStr">
        <is>
          <t>Prop PMFs have no calibration seam/backtest; ablation+walk-forward are synthetic-only; users would see uncalibrated p_over.</t>
        </is>
      </c>
      <c r="K209" s="46" t="inlineStr">
        <is>
          <t>Per-prop reliability/coverage backtest; ablation Brier/log-loss deltas over real PA outcomes; ECE thresholds gate exposure.</t>
        </is>
      </c>
      <c r="L209" s="46" t="inlineStr">
        <is>
          <t>SIM-406</t>
        </is>
      </c>
      <c r="M209" s="46" t="inlineStr">
        <is>
          <t>Tier P1.</t>
        </is>
      </c>
    </row>
    <row r="210">
      <c r="A210" s="46" t="inlineStr">
        <is>
          <t>SIM-408</t>
        </is>
      </c>
      <c r="B210" s="46" t="inlineStr">
        <is>
          <t>DuckDB profile/pool build + provisioning for the 11-engine startup</t>
        </is>
      </c>
      <c r="C210" s="46" t="inlineStr">
        <is>
          <t>Phase 6 - Verification</t>
        </is>
      </c>
      <c r="D210" s="46" t="inlineStr">
        <is>
          <t>Infra</t>
        </is>
      </c>
      <c r="E210" s="46" t="inlineStr">
        <is>
          <t>P1</t>
        </is>
      </c>
      <c r="F210" s="46" t="inlineStr">
        <is>
          <t>M</t>
        </is>
      </c>
      <c r="G210" s="46" t="inlineStr">
        <is>
          <t>Data Engineer</t>
        </is>
      </c>
      <c r="H210" s="46" t="inlineStr">
        <is>
          <t>Open</t>
        </is>
      </c>
      <c r="I210" s="46" t="inlineStr">
        <is>
          <t>No</t>
        </is>
      </c>
      <c r="J210" s="46" t="inlineStr">
        <is>
          <t>Engines need populated derived.*/sim.*_pool; PlayerProfileComputor builds them but a populated DuckDB isn't provisioned; partial builds serve degraded similarity silently.</t>
        </is>
      </c>
      <c r="K210" s="46" t="inlineStr">
        <is>
          <t>Documented build run producing all profile/pool tables for target seasons; /health/ready reports built-engine set + required list.</t>
        </is>
      </c>
      <c r="M210" s="46" t="inlineStr">
        <is>
          <t>Tier P1. Live-env debt.</t>
        </is>
      </c>
    </row>
    <row r="211">
      <c r="A211" s="46" t="inlineStr">
        <is>
          <t>SIM-409</t>
        </is>
      </c>
      <c r="B211" s="46" t="inlineStr">
        <is>
          <t>Lineup ingestion guarantee for scheduled games (SIM-338 lineage)</t>
        </is>
      </c>
      <c r="C211" s="46" t="inlineStr">
        <is>
          <t>Phase 6 - Verification</t>
        </is>
      </c>
      <c r="D211" s="46" t="inlineStr">
        <is>
          <t>Bug</t>
        </is>
      </c>
      <c r="E211" s="46" t="inlineStr">
        <is>
          <t>P1</t>
        </is>
      </c>
      <c r="F211" s="46" t="inlineStr">
        <is>
          <t>M</t>
        </is>
      </c>
      <c r="G211" s="46" t="inlineStr">
        <is>
          <t>Data Engineer + Backend Developer</t>
        </is>
      </c>
      <c r="H211" s="46" t="inlineStr">
        <is>
          <t>Open</t>
        </is>
      </c>
      <c r="I211" s="46" t="inlineStr">
        <is>
          <t>Yes</t>
        </is>
      </c>
      <c r="J211" s="46" t="inlineStr">
        <is>
          <t>resolve_lineup raises when raw.game_lineups is empty; not-yet-started games have no resolvable lineup so the field graphic is blank / sim 500s.</t>
        </is>
      </c>
      <c r="K211" s="46" t="inlineStr">
        <is>
          <t>Scheduled-game sim/card requests get a probable/projected lineup or a clean typed 422 the UI renders.</t>
        </is>
      </c>
      <c r="L211" s="46" t="inlineStr">
        <is>
          <t>SIM-386</t>
        </is>
      </c>
      <c r="M211" s="46" t="inlineStr">
        <is>
          <t>Tier P1.</t>
        </is>
      </c>
    </row>
    <row r="212">
      <c r="A212" s="46" t="inlineStr">
        <is>
          <t>SIM-410</t>
        </is>
      </c>
      <c r="B212" s="46" t="inlineStr">
        <is>
          <t>Wire the API p95 timing middleware</t>
        </is>
      </c>
      <c r="C212" s="46" t="inlineStr">
        <is>
          <t>Phase 6 - Verification</t>
        </is>
      </c>
      <c r="D212" s="46" t="inlineStr">
        <is>
          <t>Improvement</t>
        </is>
      </c>
      <c r="E212" s="46" t="inlineStr">
        <is>
          <t>P1</t>
        </is>
      </c>
      <c r="F212" s="46" t="inlineStr">
        <is>
          <t>S</t>
        </is>
      </c>
      <c r="G212" s="46" t="inlineStr">
        <is>
          <t>Backend Developer + QA/DevOps</t>
        </is>
      </c>
      <c r="H212" s="46" t="inlineStr">
        <is>
          <t>Closed</t>
        </is>
      </c>
      <c r="I212" s="46" t="inlineStr">
        <is>
          <t>No</t>
        </is>
      </c>
      <c r="J212" s="46" t="inlineStr">
        <is>
          <t>The metrics.py p95 gauge is a PLACEHOLDER never populated; only CORS+RateLimit middleware exist so the Grafana panel reads 0.</t>
        </is>
      </c>
      <c r="K212" s="46" t="inlineStr">
        <is>
          <t>ASGI timing middleware feeds app.state.api_p95_seconds; gauge non-zero under load; dashboard verified.</t>
        </is>
      </c>
      <c r="M212" s="46" t="inlineStr">
        <is>
          <t>Tier P1.</t>
        </is>
      </c>
    </row>
    <row r="213">
      <c r="A213" s="46" t="inlineStr">
        <is>
          <t>SIM-411</t>
        </is>
      </c>
      <c r="B213" s="46" t="inlineStr">
        <is>
          <t>Park factor into the run environment</t>
        </is>
      </c>
      <c r="C213" s="46" t="inlineStr">
        <is>
          <t>Phase 6 - Realism</t>
        </is>
      </c>
      <c r="D213" s="46" t="inlineStr">
        <is>
          <t>Improvement</t>
        </is>
      </c>
      <c r="E213" s="46" t="inlineStr">
        <is>
          <t>P2</t>
        </is>
      </c>
      <c r="F213" s="46" t="inlineStr">
        <is>
          <t>L</t>
        </is>
      </c>
      <c r="G213" s="46" t="inlineStr">
        <is>
          <t>Baseball Analyst + ML Engineer + Data Engineer</t>
        </is>
      </c>
      <c r="H213" s="46" t="inlineStr">
        <is>
          <t>Open</t>
        </is>
      </c>
      <c r="I213" s="46" t="inlineStr">
        <is>
          <t>No</t>
        </is>
      </c>
      <c r="J213" s="46" t="inlineStr">
        <is>
          <t>GameState.park is a DEAD field, never read in sim_loop/fingerprints; Coors vs Petco give identical distributions, a user-visible hole.</t>
        </is>
      </c>
      <c r="K213" s="46" t="inlineStr">
        <is>
          <t>Park enters batted-ball centroid/scaling; the score distribution shifts measurably between extreme parks.</t>
        </is>
      </c>
      <c r="M213" s="46" t="inlineStr">
        <is>
          <t>Tier P2.</t>
        </is>
      </c>
    </row>
    <row r="214">
      <c r="A214" s="46" t="inlineStr">
        <is>
          <t>SIM-412</t>
        </is>
      </c>
      <c r="B214" s="46" t="inlineStr">
        <is>
          <t>Home-field run advantage in the score distribution</t>
        </is>
      </c>
      <c r="C214" s="46" t="inlineStr">
        <is>
          <t>Phase 6 - Realism</t>
        </is>
      </c>
      <c r="D214" s="46" t="inlineStr">
        <is>
          <t>Improvement</t>
        </is>
      </c>
      <c r="E214" s="46" t="inlineStr">
        <is>
          <t>P2</t>
        </is>
      </c>
      <c r="F214" s="46" t="inlineStr">
        <is>
          <t>M</t>
        </is>
      </c>
      <c r="G214" s="46" t="inlineStr">
        <is>
          <t>Baseball Analyst</t>
        </is>
      </c>
      <c r="H214" s="46" t="inlineStr">
        <is>
          <t>Open</t>
        </is>
      </c>
      <c r="I214" s="46" t="inlineStr">
        <is>
          <t>Yes</t>
        </is>
      </c>
      <c r="J214" s="46" t="inlineStr">
        <is>
          <t>Only structural last-AB/walk-off rules exist; no run-environment home edge; aggregate home_win_pct won't hit the empirical ~.535-.540.</t>
        </is>
      </c>
      <c r="K214" s="46" t="inlineStr">
        <is>
          <t>home_win_pct over a neutral matchup ~ .535-.540, validated by a sniff test.</t>
        </is>
      </c>
      <c r="L214" s="46" t="inlineStr">
        <is>
          <t>SIM-411</t>
        </is>
      </c>
      <c r="M214" s="46" t="inlineStr">
        <is>
          <t>Tier P2.</t>
        </is>
      </c>
    </row>
    <row r="215">
      <c r="A215" s="46" t="inlineStr">
        <is>
          <t>SIM-413</t>
        </is>
      </c>
      <c r="B215" s="46" t="inlineStr">
        <is>
          <t>Pitcher throwing-hand -&gt; batter platoon split in the batted-ball matchup</t>
        </is>
      </c>
      <c r="C215" s="46" t="inlineStr">
        <is>
          <t>Phase 6 - Realism</t>
        </is>
      </c>
      <c r="D215" s="46" t="inlineStr">
        <is>
          <t>Improvement</t>
        </is>
      </c>
      <c r="E215" s="46" t="inlineStr">
        <is>
          <t>P2</t>
        </is>
      </c>
      <c r="F215" s="46" t="inlineStr">
        <is>
          <t>M</t>
        </is>
      </c>
      <c r="G215" s="46" t="inlineStr">
        <is>
          <t>Baseball Analyst + ML Engineer</t>
        </is>
      </c>
      <c r="H215" s="46" t="inlineStr">
        <is>
          <t>Open</t>
        </is>
      </c>
      <c r="I215" s="46" t="inlineStr">
        <is>
          <t>No</t>
        </is>
      </c>
      <c r="J215" s="46" t="inlineStr">
        <is>
          <t>The batter engine has vs-LHP/RHP platoon machinery but the loop fingerprint keys on bat_hand only; pitcher hand never selects the split.</t>
        </is>
      </c>
      <c r="K215" s="46" t="inlineStr">
        <is>
          <t>Same-hand matchups depress contact quality vs opposite-hand per the platoon split.</t>
        </is>
      </c>
      <c r="M215" s="46" t="inlineStr">
        <is>
          <t>Tier P2.</t>
        </is>
      </c>
    </row>
    <row r="216">
      <c r="A216" s="46" t="inlineStr">
        <is>
          <t>SIM-414</t>
        </is>
      </c>
      <c r="B216" s="46" t="inlineStr">
        <is>
          <t>W/L/S + ER + per-runner R cross-surface reconciliation</t>
        </is>
      </c>
      <c r="C216" s="46" t="inlineStr">
        <is>
          <t>Phase 6 - Realism</t>
        </is>
      </c>
      <c r="D216" s="46" t="inlineStr">
        <is>
          <t>Bug</t>
        </is>
      </c>
      <c r="E216" s="46" t="inlineStr">
        <is>
          <t>P2</t>
        </is>
      </c>
      <c r="F216" s="46" t="inlineStr">
        <is>
          <t>M</t>
        </is>
      </c>
      <c r="G216" s="46" t="inlineStr">
        <is>
          <t>Baseball Analyst + Backend Developer</t>
        </is>
      </c>
      <c r="H216" s="46" t="inlineStr">
        <is>
          <t>Open</t>
        </is>
      </c>
      <c r="I216" s="46" t="inlineStr">
        <is>
          <t>Yes</t>
        </is>
      </c>
      <c r="J216" s="46" t="inlineStr">
        <is>
          <t>Decisions omit the 5-IP starter-win + 3-inning save rules; the per-play is_error ER proxy under-counts unearned; per-runner R misses walk-forced runs.</t>
        </is>
      </c>
      <c r="K216" s="46" t="inlineStr">
        <is>
          <t>Starter-win minimum + save clause; ER/unearned reconciled; sum(player R) == team linescore R.</t>
        </is>
      </c>
      <c r="L216" s="46" t="inlineStr">
        <is>
          <t>SIM-384</t>
        </is>
      </c>
      <c r="M216" s="46" t="inlineStr">
        <is>
          <t>Tier P2.</t>
        </is>
      </c>
    </row>
    <row r="217">
      <c r="A217" s="46" t="inlineStr">
        <is>
          <t>SIM-415</t>
        </is>
      </c>
      <c r="B217" s="46" t="inlineStr">
        <is>
          <t>Pagination / payload-trim for heavy endpoints</t>
        </is>
      </c>
      <c r="C217" s="46" t="inlineStr">
        <is>
          <t>Phase 6 - Hardening</t>
        </is>
      </c>
      <c r="D217" s="46" t="inlineStr">
        <is>
          <t>Improvement</t>
        </is>
      </c>
      <c r="E217" s="46" t="inlineStr">
        <is>
          <t>P2</t>
        </is>
      </c>
      <c r="F217" s="46" t="inlineStr">
        <is>
          <t>M</t>
        </is>
      </c>
      <c r="G217" s="46" t="inlineStr">
        <is>
          <t>Backend Developer</t>
        </is>
      </c>
      <c r="H217" s="46" t="inlineStr">
        <is>
          <t>Open</t>
        </is>
      </c>
      <c r="I217" s="46" t="inlineStr">
        <is>
          <t>No</t>
        </is>
      </c>
      <c r="J217" s="46" t="inlineStr">
        <is>
          <t>/plays returns the full pitch scroll unpaged; GameSimSummaryModel ships raw N-length score arrays by default -&gt; multi-MB browser payloads.</t>
        </is>
      </c>
      <c r="K217" s="46" t="inlineStr">
        <is>
          <t>limit/offset (or cursor) on /plays + listing; /simulate defaults to Lite / include_raw_arrays=False.</t>
        </is>
      </c>
      <c r="M217" s="46" t="inlineStr">
        <is>
          <t>Tier P2.</t>
        </is>
      </c>
    </row>
    <row r="218">
      <c r="A218" s="46" t="inlineStr">
        <is>
          <t>SIM-416</t>
        </is>
      </c>
      <c r="B218" s="46" t="inlineStr">
        <is>
          <t>App-level exception handler + structured error envelope</t>
        </is>
      </c>
      <c r="C218" s="46" t="inlineStr">
        <is>
          <t>Phase 6 - Hardening</t>
        </is>
      </c>
      <c r="D218" s="46" t="inlineStr">
        <is>
          <t>Improvement</t>
        </is>
      </c>
      <c r="E218" s="46" t="inlineStr">
        <is>
          <t>P2</t>
        </is>
      </c>
      <c r="F218" s="46" t="inlineStr">
        <is>
          <t>S</t>
        </is>
      </c>
      <c r="G218" s="46" t="inlineStr">
        <is>
          <t>Backend Developer</t>
        </is>
      </c>
      <c r="H218" s="46" t="inlineStr">
        <is>
          <t>Open</t>
        </is>
      </c>
      <c r="I218" s="46" t="inlineStr">
        <is>
          <t>No</t>
        </is>
      </c>
      <c r="J218" s="46" t="inlineStr">
        <is>
          <t>No add_exception_handler anywhere; unhandled errors leak raw 500s; no {error,code} envelope for the FE.</t>
        </is>
      </c>
      <c r="K218" s="46" t="inlineStr">
        <is>
          <t>App handler returns a uniform error shape; map 503/404/422 consistently.</t>
        </is>
      </c>
      <c r="M218" s="46" t="inlineStr">
        <is>
          <t>Tier P2.</t>
        </is>
      </c>
    </row>
    <row r="219">
      <c r="A219" s="46" t="inlineStr">
        <is>
          <t>SIM-417</t>
        </is>
      </c>
      <c r="B219" s="46" t="inlineStr">
        <is>
          <t>Data-freshness/health API surface for the UI</t>
        </is>
      </c>
      <c r="C219" s="46" t="inlineStr">
        <is>
          <t>Phase 6 - Hardening</t>
        </is>
      </c>
      <c r="D219" s="46" t="inlineStr">
        <is>
          <t>Feature</t>
        </is>
      </c>
      <c r="E219" s="46" t="inlineStr">
        <is>
          <t>P2</t>
        </is>
      </c>
      <c r="F219" s="46" t="inlineStr">
        <is>
          <t>S</t>
        </is>
      </c>
      <c r="G219" s="46" t="inlineStr">
        <is>
          <t>Data Engineer</t>
        </is>
      </c>
      <c r="H219" s="46" t="inlineStr">
        <is>
          <t>Open</t>
        </is>
      </c>
      <c r="I219" s="46" t="inlineStr">
        <is>
          <t>No</t>
        </is>
      </c>
      <c r="J219" s="46" t="inlineStr">
        <is>
          <t>Freshness/error tables exist but no endpoint exposes staleness so the UI can't warn 'profiles stale' / NULL venue.</t>
        </is>
      </c>
      <c r="K219" s="46" t="inlineStr">
        <is>
          <t>Endpoint summarizes last-load per entity + NULL-venue count + recent ETL errors.</t>
        </is>
      </c>
      <c r="M219" s="46" t="inlineStr">
        <is>
          <t>Tier P2.</t>
        </is>
      </c>
    </row>
    <row r="220">
      <c r="A220" s="46" t="inlineStr">
        <is>
          <t>SIM-418</t>
        </is>
      </c>
      <c r="B220" s="46" t="inlineStr">
        <is>
          <t>Split slow tests into a dedicated CI lane</t>
        </is>
      </c>
      <c r="C220" s="46" t="inlineStr">
        <is>
          <t>Phase 6 - Hardening</t>
        </is>
      </c>
      <c r="D220" s="46" t="inlineStr">
        <is>
          <t>Chore</t>
        </is>
      </c>
      <c r="E220" s="46" t="inlineStr">
        <is>
          <t>P2</t>
        </is>
      </c>
      <c r="F220" s="46" t="inlineStr">
        <is>
          <t>S</t>
        </is>
      </c>
      <c r="G220" s="46" t="inlineStr">
        <is>
          <t>QA/DevOps</t>
        </is>
      </c>
      <c r="H220" s="46" t="inlineStr">
        <is>
          <t>Open</t>
        </is>
      </c>
      <c r="I220" s="46" t="inlineStr">
        <is>
          <t>No</t>
        </is>
      </c>
      <c r="J220" s="46" t="inlineStr">
        <is>
          <t>~15-16 @pytest.mark.slow tests run in the default unit lane at --timeout=30 (coverage-timeout flake risk).</t>
        </is>
      </c>
      <c r="K220" s="46" t="inlineStr">
        <is>
          <t>Unit lane runs -m 'not slow'; a parallel slow-tests job uses a higher timeout; wall-clock unchanged.</t>
        </is>
      </c>
      <c r="M220" s="46" t="inlineStr">
        <is>
          <t>Tier P2.</t>
        </is>
      </c>
    </row>
    <row r="221">
      <c r="A221" s="46" t="inlineStr">
        <is>
          <t>SIM-419</t>
        </is>
      </c>
      <c r="B221" s="46" t="inlineStr">
        <is>
          <t>Harden DuckDB profile-rebuild index recreate</t>
        </is>
      </c>
      <c r="C221" s="46" t="inlineStr">
        <is>
          <t>Phase 6 - Hardening</t>
        </is>
      </c>
      <c r="D221" s="46" t="inlineStr">
        <is>
          <t>Reliability</t>
        </is>
      </c>
      <c r="E221" s="46" t="inlineStr">
        <is>
          <t>P2</t>
        </is>
      </c>
      <c r="F221" s="46" t="inlineStr">
        <is>
          <t>S</t>
        </is>
      </c>
      <c r="G221" s="46" t="inlineStr">
        <is>
          <t>Data Engineer</t>
        </is>
      </c>
      <c r="H221" s="46" t="inlineStr">
        <is>
          <t>Open</t>
        </is>
      </c>
      <c r="I221" s="46" t="inlineStr">
        <is>
          <t>No</t>
        </is>
      </c>
      <c r="J221" s="46" t="inlineStr">
        <is>
          <t>player_profile_computor only WARNS on a failed index recreate after the ART-on-DELETE workaround -&gt; silent index loss degrading engine-build perf.</t>
        </is>
      </c>
      <c r="K221" s="46" t="inlineStr">
        <is>
          <t>Failed recreate fails the build or is post-run verified.</t>
        </is>
      </c>
      <c r="M221" s="46" t="inlineStr">
        <is>
          <t>Tier P2.</t>
        </is>
      </c>
    </row>
    <row r="222">
      <c r="A222" s="46" t="inlineStr">
        <is>
          <t>SIM-420</t>
        </is>
      </c>
      <c r="B222" s="46" t="inlineStr">
        <is>
          <t>OpenAPI typed-client generation for the frontend</t>
        </is>
      </c>
      <c r="C222" s="46" t="inlineStr">
        <is>
          <t>Phase 6 - Hardening</t>
        </is>
      </c>
      <c r="D222" s="46" t="inlineStr">
        <is>
          <t>Improvement</t>
        </is>
      </c>
      <c r="E222" s="46" t="inlineStr">
        <is>
          <t>P2</t>
        </is>
      </c>
      <c r="F222" s="46" t="inlineStr">
        <is>
          <t>S</t>
        </is>
      </c>
      <c r="G222" s="46" t="inlineStr">
        <is>
          <t>Backend Developer + QA/DevOps</t>
        </is>
      </c>
      <c r="H222" s="46" t="inlineStr">
        <is>
          <t>Open</t>
        </is>
      </c>
      <c r="I222" s="46" t="inlineStr">
        <is>
          <t>Yes</t>
        </is>
      </c>
      <c r="J222" s="46" t="inlineStr">
        <is>
          <t>FastAPI emits /openapi.json but WS events + new aggregates aren't in it; the FE would hand-write types.</t>
        </is>
      </c>
      <c r="K222" s="46" t="inlineStr">
        <is>
          <t>CI generates a TS client from OpenAPI (+WS types); a published artifact the FE imports.</t>
        </is>
      </c>
      <c r="L222" s="46" t="inlineStr">
        <is>
          <t>SIM-383, SIM-385</t>
        </is>
      </c>
      <c r="M222" s="46" t="inlineStr">
        <is>
          <t>Tier P2.</t>
        </is>
      </c>
    </row>
  </sheetData>
  <autoFilter ref="A1:M9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1">
    <outlinePr summaryBelow="1" summaryRight="1"/>
    <pageSetUpPr fitToPage="0"/>
  </sheetPr>
  <dimension ref="A1:M61"/>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SIM-051</t>
        </is>
      </c>
      <c r="B2" s="84" t="inlineStr">
        <is>
          <t>Pre-compute pull_relative_spray_angle in sim.outcome_pool at ETL time</t>
        </is>
      </c>
      <c r="C2" s="84" t="inlineStr">
        <is>
          <t>Schema / ETL</t>
        </is>
      </c>
      <c r="D2" s="84" t="inlineStr">
        <is>
          <t>Improvement</t>
        </is>
      </c>
      <c r="E2" s="85" t="inlineStr">
        <is>
          <t>P1</t>
        </is>
      </c>
      <c r="F2" s="84" t="inlineStr">
        <is>
          <t>S (1–2 days)</t>
        </is>
      </c>
      <c r="G2" s="84" t="inlineStr">
        <is>
          <t>Data Engineer</t>
        </is>
      </c>
      <c r="H2" s="87" t="inlineStr">
        <is>
          <t>Closed</t>
        </is>
      </c>
      <c r="I2" s="84" t="inlineStr">
        <is>
          <t>No</t>
        </is>
      </c>
      <c r="J2"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2"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2" s="84" t="inlineStr">
        <is>
          <t>SIM-084 (DuckDB migration pattern via Alembic/DuckDB versioning)</t>
        </is>
      </c>
      <c r="M2" s="84" t="inlineStr">
        <is>
          <t>Blocks SIM-042. Must land before the batted ball FAISS index is built.</t>
        </is>
      </c>
    </row>
    <row r="3" ht="135.75" customHeight="1" s="47">
      <c r="A3" s="84" t="inlineStr">
        <is>
          <t>SIM-063</t>
        </is>
      </c>
      <c r="B3" s="84" t="inlineStr">
        <is>
          <t>Add effective_date and prior_seasons_factor to park_factors — extended with DE schema work</t>
        </is>
      </c>
      <c r="C3" s="84" t="inlineStr">
        <is>
          <t>Schema / ETL</t>
        </is>
      </c>
      <c r="D3" s="84" t="inlineStr">
        <is>
          <t>Feature</t>
        </is>
      </c>
      <c r="E3" s="85" t="inlineStr">
        <is>
          <t>P1</t>
        </is>
      </c>
      <c r="F3" s="84" t="inlineStr">
        <is>
          <t>M (3–5 days)</t>
        </is>
      </c>
      <c r="G3" s="84" t="inlineStr">
        <is>
          <t>Data Engineer</t>
        </is>
      </c>
      <c r="H3" s="87" t="inlineStr">
        <is>
          <t>Open</t>
        </is>
      </c>
      <c r="I3" s="84" t="inlineStr">
        <is>
          <t>No</t>
        </is>
      </c>
      <c r="J3"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3"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3" s="84" t="inlineStr">
        <is>
          <t>SIM-084 (DuckDB migration versioning)</t>
        </is>
      </c>
      <c r="M3" s="84" t="inlineStr">
        <is>
          <t>Must complete before SIM-094 (directional HR distances) — both modify park_factors; PK change first.</t>
        </is>
      </c>
    </row>
    <row r="4" ht="135.75" customHeight="1" s="47">
      <c r="A4" s="84" t="inlineStr">
        <is>
          <t>SIM-074</t>
        </is>
      </c>
      <c r="B4" s="84" t="inlineStr">
        <is>
          <t>Fix barrel_rate computation — implement full Statcast sliding-scale definition</t>
        </is>
      </c>
      <c r="C4" s="84" t="inlineStr">
        <is>
          <t>Schema / ETL</t>
        </is>
      </c>
      <c r="D4" s="84" t="inlineStr">
        <is>
          <t>Bug</t>
        </is>
      </c>
      <c r="E4" s="85" t="inlineStr">
        <is>
          <t>P1</t>
        </is>
      </c>
      <c r="F4" s="84" t="inlineStr">
        <is>
          <t>S (1–2 days)</t>
        </is>
      </c>
      <c r="G4" s="84" t="inlineStr">
        <is>
          <t>Data Engineer</t>
        </is>
      </c>
      <c r="H4" s="87" t="inlineStr">
        <is>
          <t>Closed</t>
        </is>
      </c>
      <c r="I4" s="84" t="inlineStr">
        <is>
          <t>No</t>
        </is>
      </c>
      <c r="J4"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4"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4" s="84" t="inlineStr">
        <is>
          <t>None</t>
        </is>
      </c>
      <c r="M4" s="84" t="inlineStr">
        <is>
          <t>Affects power sub-score and HR prop calibration. Also confirms avg_launch_angle is populated.</t>
        </is>
      </c>
    </row>
    <row r="5" ht="147" customHeight="1" s="47">
      <c r="A5" s="84" t="inlineStr">
        <is>
          <t>SIM-077</t>
        </is>
      </c>
      <c r="B5" s="84" t="inlineStr">
        <is>
          <t>Join raw.sprint_speed into baserunner and fielder profile computations — replace proxy and hardcoded defaults</t>
        </is>
      </c>
      <c r="C5" s="84" t="inlineStr">
        <is>
          <t>Schema / ETL</t>
        </is>
      </c>
      <c r="D5" s="84" t="inlineStr">
        <is>
          <t>Bug</t>
        </is>
      </c>
      <c r="E5" s="85" t="inlineStr">
        <is>
          <t>P1</t>
        </is>
      </c>
      <c r="F5" s="84" t="inlineStr">
        <is>
          <t>S (1–2 days)</t>
        </is>
      </c>
      <c r="G5" s="84" t="inlineStr">
        <is>
          <t>Data Engineer</t>
        </is>
      </c>
      <c r="H5" s="87" t="inlineStr">
        <is>
          <t>Open</t>
        </is>
      </c>
      <c r="I5" s="84" t="inlineStr">
        <is>
          <t>No</t>
        </is>
      </c>
      <c r="J5"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5"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5" s="84" t="inlineStr">
        <is>
          <t>etl_sprint_speed_loader.py must have been run for 2022-2025</t>
        </is>
      </c>
      <c r="M5" s="84" t="inlineStr">
        <is>
          <t>The sprint speed table was built specifically to fix this — it's just not wired in yet.</t>
        </is>
      </c>
    </row>
    <row r="6" ht="147" customHeight="1" s="47">
      <c r="A6" s="84" t="inlineStr">
        <is>
          <t>SIM-090</t>
        </is>
      </c>
      <c r="B6" s="84" t="inlineStr">
        <is>
          <t>Replace per-game psycopg2 connect/close with connection pool in ETL</t>
        </is>
      </c>
      <c r="C6" s="84" t="inlineStr">
        <is>
          <t>Schema / ETL</t>
        </is>
      </c>
      <c r="D6" s="84" t="inlineStr">
        <is>
          <t>Improvement</t>
        </is>
      </c>
      <c r="E6" s="85" t="inlineStr">
        <is>
          <t>P1</t>
        </is>
      </c>
      <c r="F6" s="84" t="inlineStr">
        <is>
          <t>M (3–5 days)</t>
        </is>
      </c>
      <c r="G6" s="84" t="inlineStr">
        <is>
          <t>Data Engineer</t>
        </is>
      </c>
      <c r="H6" s="87" t="inlineStr">
        <is>
          <t>Closed</t>
        </is>
      </c>
      <c r="I6" s="84" t="inlineStr">
        <is>
          <t>No</t>
        </is>
      </c>
      <c r="J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6" s="84" t="inlineStr">
        <is>
          <t>None</t>
        </is>
      </c>
      <c r="M6" s="84" t="inlineStr">
        <is>
          <t>Deferred from current sprint — useful but not blocking Phase 2 completion.</t>
        </is>
      </c>
    </row>
    <row r="7" ht="135.75" customHeight="1" s="47">
      <c r="A7" s="84" t="inlineStr">
        <is>
          <t>SIM-095</t>
        </is>
      </c>
      <c r="B7" s="84" t="inlineStr">
        <is>
          <t>Implement incremental pitch_pool and outcome_pool rebuild — replace nightly full delete+reinsert</t>
        </is>
      </c>
      <c r="C7" s="84" t="inlineStr">
        <is>
          <t>Schema / ETL</t>
        </is>
      </c>
      <c r="D7" s="84" t="inlineStr">
        <is>
          <t>Improvement</t>
        </is>
      </c>
      <c r="E7" s="88" t="inlineStr">
        <is>
          <t>P2</t>
        </is>
      </c>
      <c r="F7" s="84" t="inlineStr">
        <is>
          <t>M (3–5 days)</t>
        </is>
      </c>
      <c r="G7" s="84" t="inlineStr">
        <is>
          <t>Data Engineer</t>
        </is>
      </c>
      <c r="H7" s="87" t="inlineStr">
        <is>
          <t>Closed</t>
        </is>
      </c>
      <c r="I7" s="84" t="inlineStr">
        <is>
          <t>No</t>
        </is>
      </c>
      <c r="J7" s="84" t="inlineStr">
        <is>
          <t>Nightly full pool rebuild deletes and re-inserts ~700K rows (current season). For a 4-season data set this is 2.8M+ rows, taking ~10 minutes nightly. The incremental path only inserts new rows where game_date &gt; last_built, reducing nightly cost to ~30 seconds.</t>
        </is>
      </c>
      <c r="K7"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7" s="84" t="inlineStr">
        <is>
          <t>SIM-076 (pool_build_metadata table shared for recency weight tracking)</t>
        </is>
      </c>
      <c r="M7" s="84" t="inlineStr">
        <is>
          <t>Operational necessity once historical data grows — without this, nightly batch becomes untenable.</t>
        </is>
      </c>
    </row>
    <row r="8" ht="113.25" customHeight="1" s="47">
      <c r="A8" s="84" t="inlineStr">
        <is>
          <t>SIM-097</t>
        </is>
      </c>
      <c r="B8" s="84" t="inlineStr">
        <is>
          <t>Fix manager concurrent replacement race condition — add SELECT FOR UPDATE row lock</t>
        </is>
      </c>
      <c r="C8" s="84" t="inlineStr">
        <is>
          <t>Schema / ETL</t>
        </is>
      </c>
      <c r="D8" s="84" t="inlineStr">
        <is>
          <t>Bug</t>
        </is>
      </c>
      <c r="E8" s="88" t="inlineStr">
        <is>
          <t>P2</t>
        </is>
      </c>
      <c r="F8" s="84" t="inlineStr">
        <is>
          <t>S (&lt; 1 day)</t>
        </is>
      </c>
      <c r="G8" s="84" t="inlineStr">
        <is>
          <t>Data Engineer</t>
        </is>
      </c>
      <c r="H8" s="87" t="inlineStr">
        <is>
          <t>Open</t>
        </is>
      </c>
      <c r="I8" s="84" t="inlineStr">
        <is>
          <t>No</t>
        </is>
      </c>
      <c r="J8"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8"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8" s="84" t="inlineStr">
        <is>
          <t>None</t>
        </is>
      </c>
      <c r="M8" s="84" t="inlineStr">
        <is>
          <t>Low urgency until parallel backfill is implemented. Deferred to Phase 5 async migration.</t>
        </is>
      </c>
    </row>
    <row r="9" ht="168.75" customHeight="1" s="47">
      <c r="A9" s="84" t="inlineStr">
        <is>
          <t>SIM-098</t>
        </is>
      </c>
      <c r="B9" s="84" t="inlineStr">
        <is>
          <t>Implement pipeline observability baseline: raw.pipeline_run_log, freshness staleness alert, Prometheus counters</t>
        </is>
      </c>
      <c r="C9" s="84" t="inlineStr">
        <is>
          <t>Infrastructure</t>
        </is>
      </c>
      <c r="D9" s="84" t="inlineStr">
        <is>
          <t>Gap</t>
        </is>
      </c>
      <c r="E9" s="85" t="inlineStr">
        <is>
          <t>P1</t>
        </is>
      </c>
      <c r="F9" s="84" t="inlineStr">
        <is>
          <t>M (3–5 days)</t>
        </is>
      </c>
      <c r="G9" s="84" t="inlineStr">
        <is>
          <t>Data Engineer</t>
        </is>
      </c>
      <c r="H9" s="87" t="inlineStr">
        <is>
          <t>Open</t>
        </is>
      </c>
      <c r="I9" s="84" t="inlineStr">
        <is>
          <t>No</t>
        </is>
      </c>
      <c r="J9" s="84" t="inlineStr">
        <is>
          <t>No monitoring infrastructure exists for the data pipeline. A nightly profile computor failure would not alert anyone. For a production betting platform with time-sensitive data freshness requirements, silent failures are unacceptable.</t>
        </is>
      </c>
      <c r="K9"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9" s="84" t="inlineStr">
        <is>
          <t>SIM-084 (Alembic)</t>
        </is>
      </c>
      <c r="M9" s="84" t="inlineStr">
        <is>
          <t>Instrumentation hooks must exist in Phase 5 — retrofitting monitoring after Phase 7 deploy is too late.</t>
        </is>
      </c>
    </row>
    <row r="10" hidden="1" ht="147" customHeight="1" s="47">
      <c r="A10" s="84" t="inlineStr">
        <is>
          <t>SIM-041</t>
        </is>
      </c>
      <c r="B10" s="84" t="inlineStr">
        <is>
          <t>Build pitch-to-pitch similarity engine (2.10) — FAISS flat index</t>
        </is>
      </c>
      <c r="C10" s="84" t="inlineStr">
        <is>
          <t>Similarity Engines</t>
        </is>
      </c>
      <c r="D10" s="84" t="inlineStr">
        <is>
          <t>Feature</t>
        </is>
      </c>
      <c r="E10" s="85" t="inlineStr">
        <is>
          <t>P1</t>
        </is>
      </c>
      <c r="F10" s="84" t="inlineStr">
        <is>
          <t>L (1–2 weeks)</t>
        </is>
      </c>
      <c r="G10" s="84" t="inlineStr">
        <is>
          <t>ML Engineer</t>
        </is>
      </c>
      <c r="H10" s="86" t="inlineStr">
        <is>
          <t>Shipped 2026-05-14 (sprint 2026-05-13)</t>
        </is>
      </c>
      <c r="I10" s="84" t="inlineStr">
        <is>
          <t>No</t>
        </is>
      </c>
      <c r="J10"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10"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10" s="84" t="inlineStr">
        <is>
          <t>SIM-071 (package structure), SIM-114 (FAISS design spec)</t>
        </is>
      </c>
      <c r="M10" s="84" t="inlineStr">
        <is>
          <t>Build order: this engine first (enables Phase 3 play pool testing).</t>
        </is>
      </c>
    </row>
    <row r="11" hidden="1" ht="113.25" customHeight="1" s="47">
      <c r="A11" s="84" t="inlineStr">
        <is>
          <t>SIM-042</t>
        </is>
      </c>
      <c r="B11" s="84" t="inlineStr">
        <is>
          <t>Build batted ball-to-batted ball similarity engine (2.11) — FAISS IVFFlat</t>
        </is>
      </c>
      <c r="C11" s="84" t="inlineStr">
        <is>
          <t>Similarity Engines</t>
        </is>
      </c>
      <c r="D11" s="84" t="inlineStr">
        <is>
          <t>Feature</t>
        </is>
      </c>
      <c r="E11" s="85" t="inlineStr">
        <is>
          <t>P1</t>
        </is>
      </c>
      <c r="F11" s="84" t="inlineStr">
        <is>
          <t>L (1–2 weeks)</t>
        </is>
      </c>
      <c r="G11" s="84" t="inlineStr">
        <is>
          <t>ML Engineer</t>
        </is>
      </c>
      <c r="H11" s="86" t="inlineStr">
        <is>
          <t>Shipped 2026-05-14 (sprint 2026-05-13)</t>
        </is>
      </c>
      <c r="I11" s="84" t="inlineStr">
        <is>
          <t>No</t>
        </is>
      </c>
      <c r="J11" s="84" t="inlineStr">
        <is>
          <t>Batted ball similarity engine using FAISS IVFFlat index. Matches a query batted ball (exit velo, launch angle, pull_relative_spray_angle, bb_type) to similar historical batted balls for fielding resolution in the simulation loop.</t>
        </is>
      </c>
      <c r="K11"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11" s="84" t="inlineStr">
        <is>
          <t>SIM-051 (pull_relative_spray_angle column must exist), SIM-041 (FAISS pattern)</t>
        </is>
      </c>
      <c r="M11" s="84" t="inlineStr">
        <is>
          <t>Required for fielding resolution in Phase 4 Step 4.</t>
        </is>
      </c>
    </row>
    <row r="12" ht="147" customHeight="1" s="47">
      <c r="A12" s="84" t="inlineStr">
        <is>
          <t>SIM-044</t>
        </is>
      </c>
      <c r="B12" s="84" t="inlineStr">
        <is>
          <t>Build baserunner steal similarity engine (2.5)</t>
        </is>
      </c>
      <c r="C12" s="84" t="inlineStr">
        <is>
          <t>Similarity Engines</t>
        </is>
      </c>
      <c r="D12" s="84" t="inlineStr">
        <is>
          <t>Feature</t>
        </is>
      </c>
      <c r="E12" s="85" t="inlineStr">
        <is>
          <t>P1</t>
        </is>
      </c>
      <c r="F12" s="84" t="inlineStr">
        <is>
          <t>M (3–5 days)</t>
        </is>
      </c>
      <c r="G12" s="84" t="inlineStr">
        <is>
          <t>ML Engineer</t>
        </is>
      </c>
      <c r="H12" s="87" t="inlineStr">
        <is>
          <t>Open</t>
        </is>
      </c>
      <c r="I12" s="84" t="inlineStr">
        <is>
          <t>No</t>
        </is>
      </c>
      <c r="J12"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12"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12" s="84" t="inlineStr">
        <is>
          <t>SIM-071, SIM-070 (below_minimum_sample fix), SIM-077 (sprint speed)</t>
        </is>
      </c>
      <c r="M12" s="84" t="inlineStr">
        <is>
          <t>Distinct from baserunner extra-base engine — steal-specific features and use case.</t>
        </is>
      </c>
    </row>
    <row r="13" ht="102" customHeight="1" s="47">
      <c r="A13" s="84" t="inlineStr">
        <is>
          <t>SIM-045</t>
        </is>
      </c>
      <c r="B13" s="84" t="inlineStr">
        <is>
          <t>Build pitcher-allowing-steals similarity engine (2.7)</t>
        </is>
      </c>
      <c r="C13" s="84" t="inlineStr">
        <is>
          <t>Similarity Engines</t>
        </is>
      </c>
      <c r="D13" s="84" t="inlineStr">
        <is>
          <t>Feature</t>
        </is>
      </c>
      <c r="E13" s="85" t="inlineStr">
        <is>
          <t>P1</t>
        </is>
      </c>
      <c r="F13" s="84" t="inlineStr">
        <is>
          <t>M (3–5 days)</t>
        </is>
      </c>
      <c r="G13" s="84" t="inlineStr">
        <is>
          <t>ML Engineer</t>
        </is>
      </c>
      <c r="H13" s="87" t="inlineStr">
        <is>
          <t>Open</t>
        </is>
      </c>
      <c r="I13" s="84" t="inlineStr">
        <is>
          <t>No</t>
        </is>
      </c>
      <c r="J13"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13"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13" s="84" t="inlineStr">
        <is>
          <t>SIM-071, SIM-059 (revised feature set spec)</t>
        </is>
      </c>
      <c r="M13" s="84" t="inlineStr">
        <is>
          <t>Feed into Phase 4 Step 1 steal attempt probability.</t>
        </is>
      </c>
    </row>
    <row r="14" ht="135.75" customHeight="1" s="47">
      <c r="A14" s="84" t="inlineStr">
        <is>
          <t>SIM-047</t>
        </is>
      </c>
      <c r="B14" s="84" t="inlineStr">
        <is>
          <t>Build situation-to-situation similarity engine (2.9) — KDTree</t>
        </is>
      </c>
      <c r="C14" s="84" t="inlineStr">
        <is>
          <t>Similarity Engines</t>
        </is>
      </c>
      <c r="D14" s="84" t="inlineStr">
        <is>
          <t>Feature</t>
        </is>
      </c>
      <c r="E14" s="85" t="inlineStr">
        <is>
          <t>P1</t>
        </is>
      </c>
      <c r="F14" s="84" t="inlineStr">
        <is>
          <t>M (3–5 days)</t>
        </is>
      </c>
      <c r="G14" s="84" t="inlineStr">
        <is>
          <t>ML Engineer</t>
        </is>
      </c>
      <c r="H14" s="87" t="inlineStr">
        <is>
          <t>Open</t>
        </is>
      </c>
      <c r="I14" s="84" t="inlineStr">
        <is>
          <t>No</t>
        </is>
      </c>
      <c r="J14"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14"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14" s="84" t="inlineStr">
        <is>
          <t>SIM-071, SIM-085 (situation index), SIM-058 (LI lookup table for features)</t>
        </is>
      </c>
      <c r="M14" s="84" t="inlineStr">
        <is>
          <t>Cross-cutting weight modifier — used to adjust all other engine weights by game situation.</t>
        </is>
      </c>
    </row>
    <row r="15" ht="90.75" customHeight="1" s="47">
      <c r="A15" s="84" t="inlineStr">
        <is>
          <t>SIM-050</t>
        </is>
      </c>
      <c r="B15" s="84" t="inlineStr">
        <is>
          <t>Merge fielder diagnostics into similarity_diagnostics.py — fix silent CI failure</t>
        </is>
      </c>
      <c r="C15" s="84" t="inlineStr">
        <is>
          <t>Similarity Engines</t>
        </is>
      </c>
      <c r="D15" s="84" t="inlineStr">
        <is>
          <t>Bug</t>
        </is>
      </c>
      <c r="E15" s="85" t="inlineStr">
        <is>
          <t>P1</t>
        </is>
      </c>
      <c r="F15" s="84" t="inlineStr">
        <is>
          <t>S (&lt; 1 day)</t>
        </is>
      </c>
      <c r="G15" s="84" t="inlineStr">
        <is>
          <t>ML Engineer</t>
        </is>
      </c>
      <c r="H15" s="87" t="inlineStr">
        <is>
          <t>Open</t>
        </is>
      </c>
      <c r="I15" s="84" t="inlineStr">
        <is>
          <t>No</t>
        </is>
      </c>
      <c r="J15"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5"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5" s="84" t="inlineStr">
        <is>
          <t>None</t>
        </is>
      </c>
      <c r="M15" s="84" t="inlineStr">
        <is>
          <t>CI regression gate (SIM-154) is incomplete until this is fixed.</t>
        </is>
      </c>
    </row>
    <row r="16" hidden="1" ht="157.5" customHeight="1" s="47">
      <c r="A16" s="84" t="inlineStr">
        <is>
          <t>SIM-072</t>
        </is>
      </c>
      <c r="B16" s="84" t="inlineStr">
        <is>
          <t>CatcherSimilarityEngine v2 — split throwing into Execution + Deterrence</t>
        </is>
      </c>
      <c r="C16" s="84" t="inlineStr">
        <is>
          <t>Similarity Engines</t>
        </is>
      </c>
      <c r="D16" s="84" t="inlineStr">
        <is>
          <t>Enhancement</t>
        </is>
      </c>
      <c r="E16" s="85" t="inlineStr">
        <is>
          <t>P1</t>
        </is>
      </c>
      <c r="F16" s="84" t="inlineStr">
        <is>
          <t>M (3–5 days)</t>
        </is>
      </c>
      <c r="G16" s="84" t="inlineStr">
        <is>
          <t>ML Engineer</t>
        </is>
      </c>
      <c r="H16" s="86" t="inlineStr">
        <is>
          <t>Shipped 2026-05-14 (sprint 2026-05-13)</t>
        </is>
      </c>
      <c r="I16" s="84" t="inlineStr">
        <is>
          <t>No</t>
        </is>
      </c>
      <c r="J16"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16"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16" s="84" t="inlineStr">
        <is>
          <t>SIM-073 (data dependency)</t>
        </is>
      </c>
      <c r="M16" s="84" t="inlineStr">
        <is>
          <t>Supersedes the composite weight scheme from SIM-067.</t>
        </is>
      </c>
    </row>
    <row r="17" hidden="1" ht="147" customHeight="1" s="47">
      <c r="A17" s="84" t="inlineStr">
        <is>
          <t>SIM-073</t>
        </is>
      </c>
      <c r="B17" s="84" t="inlineStr">
        <is>
          <t>Add steal_attempt_rate_against column to derived.catcher_season_metrics</t>
        </is>
      </c>
      <c r="C17" s="84" t="inlineStr">
        <is>
          <t>Schema / ETL</t>
        </is>
      </c>
      <c r="D17" s="84" t="inlineStr">
        <is>
          <t>Gap</t>
        </is>
      </c>
      <c r="E17" s="85" t="inlineStr">
        <is>
          <t>P1</t>
        </is>
      </c>
      <c r="F17" s="84" t="inlineStr">
        <is>
          <t>S (1–2 days)</t>
        </is>
      </c>
      <c r="G17" s="84" t="inlineStr">
        <is>
          <t>Data Engineer</t>
        </is>
      </c>
      <c r="H17" s="86" t="inlineStr">
        <is>
          <t>Shipped 2026-05-14 (sprint 2026-05-13)</t>
        </is>
      </c>
      <c r="I17" s="84" t="inlineStr">
        <is>
          <t>No</t>
        </is>
      </c>
      <c r="J17" s="84" t="inlineStr">
        <is>
          <t>SIM-072 v2 needs a Deterrence sub-score driven by the rate at which opposing runners attempt to steal against this catcher per PA opportunity. Column doesn't exist yet on the derived table.</t>
        </is>
      </c>
      <c r="K17"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17" s="84" t="inlineStr">
        <is>
          <t>SIM-084 (DuckDB migration pattern)</t>
        </is>
      </c>
      <c r="M17" s="84" t="inlineStr">
        <is>
          <t>Blocks SIM-072.</t>
        </is>
      </c>
    </row>
    <row r="18" ht="147" customHeight="1" s="47">
      <c r="A18" s="84" t="inlineStr">
        <is>
          <t>SIM-078</t>
        </is>
      </c>
      <c r="B18" s="84" t="inlineStr">
        <is>
          <t>Apply quantile normalization to right-skewed OF arm metrics before Z-scoring</t>
        </is>
      </c>
      <c r="C18" s="84" t="inlineStr">
        <is>
          <t>Similarity Engines</t>
        </is>
      </c>
      <c r="D18" s="84" t="inlineStr">
        <is>
          <t>Improvement</t>
        </is>
      </c>
      <c r="E18" s="85" t="inlineStr">
        <is>
          <t>P1</t>
        </is>
      </c>
      <c r="F18" s="84" t="inlineStr">
        <is>
          <t>S (1–2 days)</t>
        </is>
      </c>
      <c r="G18" s="84" t="inlineStr">
        <is>
          <t>ML Engineer</t>
        </is>
      </c>
      <c r="H18" s="87" t="inlineStr">
        <is>
          <t>Open</t>
        </is>
      </c>
      <c r="I18" s="84" t="inlineStr">
        <is>
          <t>No</t>
        </is>
      </c>
      <c r="J18"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18"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18" s="84" t="inlineStr">
        <is>
          <t>SIM-071 (base.py)</t>
        </is>
      </c>
      <c r="M18" s="84" t="inlineStr">
        <is>
          <t>Correctly represents the continuous variation in arm strength that gets compressed by Z-scoring.</t>
        </is>
      </c>
    </row>
    <row r="19" ht="135.75" customHeight="1" s="47">
      <c r="A19" s="84" t="inlineStr">
        <is>
          <t>SIM-079</t>
        </is>
      </c>
      <c r="B19" s="84" t="inlineStr">
        <is>
          <t>Add season_weight parameter to calibrate_sigma() — calibration must reflect recency-weighted population</t>
        </is>
      </c>
      <c r="C19" s="84" t="inlineStr">
        <is>
          <t>Similarity Engines</t>
        </is>
      </c>
      <c r="D19" s="84" t="inlineStr">
        <is>
          <t>Improvement</t>
        </is>
      </c>
      <c r="E19" s="85" t="inlineStr">
        <is>
          <t>P1</t>
        </is>
      </c>
      <c r="F19" s="84" t="inlineStr">
        <is>
          <t>S (1–2 days)</t>
        </is>
      </c>
      <c r="G19" s="84" t="inlineStr">
        <is>
          <t>ML Engineer</t>
        </is>
      </c>
      <c r="H19" s="87" t="inlineStr">
        <is>
          <t>Open</t>
        </is>
      </c>
      <c r="I19" s="84" t="inlineStr">
        <is>
          <t>No</t>
        </is>
      </c>
      <c r="J19" s="84" t="inlineStr">
        <is>
          <t>If recency weighting is applied at query time (SIM-076) but sigma was calibrated without it, the effective score distribution will shift and the target median of 0.50 won't hold. Calibration must sample the same population the simulation queries.</t>
        </is>
      </c>
      <c r="K19"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19" s="84" t="inlineStr">
        <is>
          <t>SIM-076 (recency weights must be defined first)</t>
        </is>
      </c>
      <c r="M19" s="84" t="inlineStr">
        <is>
          <t>Ensures calibrated sigmas match the actual distribution the simulation samples.</t>
        </is>
      </c>
    </row>
    <row r="20" ht="79.5" customHeight="1" s="47">
      <c r="A20" s="84" t="inlineStr">
        <is>
          <t>SIM-080</t>
        </is>
      </c>
      <c r="B20" s="84" t="inlineStr">
        <is>
          <t>Add ordering guard to pitcher engine build() — document GMM/shrinkage dependency</t>
        </is>
      </c>
      <c r="C20" s="84" t="inlineStr">
        <is>
          <t>Similarity Engines</t>
        </is>
      </c>
      <c r="D20" s="84" t="inlineStr">
        <is>
          <t>Improvement</t>
        </is>
      </c>
      <c r="E20" s="88" t="inlineStr">
        <is>
          <t>P2</t>
        </is>
      </c>
      <c r="F20" s="84" t="inlineStr">
        <is>
          <t>S (&lt; 1 day)</t>
        </is>
      </c>
      <c r="G20" s="84" t="inlineStr">
        <is>
          <t>ML Engineer</t>
        </is>
      </c>
      <c r="H20" s="87" t="inlineStr">
        <is>
          <t>Open</t>
        </is>
      </c>
      <c r="I20" s="84" t="inlineStr">
        <is>
          <t>No</t>
        </is>
      </c>
      <c r="J20"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20"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20" s="84" t="inlineStr">
        <is>
          <t>None</t>
        </is>
      </c>
      <c r="M20" s="84" t="inlineStr">
        <is>
          <t>Latent bug guard — prevents future developers from introducing an ordering regression.</t>
        </is>
      </c>
    </row>
    <row r="21" ht="113.25" customHeight="1" s="47">
      <c r="A21" s="84" t="inlineStr">
        <is>
          <t>SIM-056</t>
        </is>
      </c>
      <c r="B21" s="84" t="inlineStr">
        <is>
          <t>Design count-stratified foul ball frequency weighting for outcome pool</t>
        </is>
      </c>
      <c r="C21" s="84" t="inlineStr">
        <is>
          <t>Simulation Loop</t>
        </is>
      </c>
      <c r="D21" s="84" t="inlineStr">
        <is>
          <t>Feature</t>
        </is>
      </c>
      <c r="E21" s="85" t="inlineStr">
        <is>
          <t>P1</t>
        </is>
      </c>
      <c r="F21" s="84" t="inlineStr">
        <is>
          <t>S (1–2 days)</t>
        </is>
      </c>
      <c r="G21" s="84" t="inlineStr">
        <is>
          <t>Backend Developer + Baseball Analyst</t>
        </is>
      </c>
      <c r="H21" s="87" t="inlineStr">
        <is>
          <t>Closed</t>
        </is>
      </c>
      <c r="I21" s="84" t="inlineStr">
        <is>
          <t>No</t>
        </is>
      </c>
      <c r="J21"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21"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21" s="84" t="inlineStr">
        <is>
          <t>SIM-111 (play pool query API contracts)</t>
        </is>
      </c>
      <c r="M21" s="84" t="inlineStr">
        <is>
          <t>Important for K-rate prop accuracy — undercounting fouls shortens simulated PA lengths and inflates K rates.</t>
        </is>
      </c>
    </row>
    <row r="22" ht="124.5" customHeight="1" s="47">
      <c r="A22" s="84" t="inlineStr">
        <is>
          <t>SIM-061</t>
        </is>
      </c>
      <c r="B22" s="84" t="inlineStr">
        <is>
          <t>Add pitch-type conditioning coefficients to steal attempt probability</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22"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22" s="84" t="inlineStr">
        <is>
          <t>SIM-108 (step_steal.py stub), SIM-044 (baserunner steal engine)</t>
        </is>
      </c>
      <c r="M22" s="84" t="inlineStr">
        <is>
          <t>Relatively small improvement in isolation but compounds over many simulation iterations.</t>
        </is>
      </c>
    </row>
    <row r="23" ht="147" customHeight="1" s="47">
      <c r="A23" s="84" t="inlineStr">
        <is>
          <t>SIM-065</t>
        </is>
      </c>
      <c r="B23" s="84" t="inlineStr">
        <is>
          <t>Ghost runner explicit season conditioning + full GameState field spec</t>
        </is>
      </c>
      <c r="C23" s="84" t="inlineStr">
        <is>
          <t>Simulation Loop</t>
        </is>
      </c>
      <c r="D23" s="84" t="inlineStr">
        <is>
          <t>Feature</t>
        </is>
      </c>
      <c r="E23" s="85" t="inlineStr">
        <is>
          <t>P1</t>
        </is>
      </c>
      <c r="F23" s="84" t="inlineStr">
        <is>
          <t>S (1–2 days)</t>
        </is>
      </c>
      <c r="G23" s="84" t="inlineStr">
        <is>
          <t>Backend Developer + Baseball Analyst</t>
        </is>
      </c>
      <c r="H23" s="87" t="inlineStr">
        <is>
          <t>Open</t>
        </is>
      </c>
      <c r="I23" s="84" t="inlineStr">
        <is>
          <t>No</t>
        </is>
      </c>
      <c r="J23"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3"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3" s="84" t="inlineStr">
        <is>
          <t>SIM-110 (GameState spec), SIM-108 (GameState dataclass implementation)</t>
        </is>
      </c>
      <c r="M23" s="84" t="inlineStr">
        <is>
          <t>Season conditioning prevents incorrect ghost runner behavior when simulating historical 2022 games.</t>
        </is>
      </c>
    </row>
    <row r="24" ht="113.25" customHeight="1" s="47">
      <c r="A24" s="84" t="inlineStr">
        <is>
          <t>SIM-096</t>
        </is>
      </c>
      <c r="B24" s="84" t="inlineStr">
        <is>
          <t>Create SQLAlchemy async models for API-facing tables — db/models/ is empty</t>
        </is>
      </c>
      <c r="C24" s="84" t="inlineStr">
        <is>
          <t>Backend API</t>
        </is>
      </c>
      <c r="D24" s="84" t="inlineStr">
        <is>
          <t>Gap</t>
        </is>
      </c>
      <c r="E24" s="85" t="inlineStr">
        <is>
          <t>P1</t>
        </is>
      </c>
      <c r="F24" s="84" t="inlineStr">
        <is>
          <t>M (3–5 days)</t>
        </is>
      </c>
      <c r="G24" s="84" t="inlineStr">
        <is>
          <t>Data Engineer + Backend Developer</t>
        </is>
      </c>
      <c r="H24" s="87" t="inlineStr">
        <is>
          <t>Open</t>
        </is>
      </c>
      <c r="I24" s="84" t="inlineStr">
        <is>
          <t>No</t>
        </is>
      </c>
      <c r="J24" s="84" t="inlineStr">
        <is>
          <t>db/models/ is empty. The Phase 5 API needs SQLAlchemy async models for the tables its endpoints query. ETL and profile computor continue using psycopg2/asyncpg/DuckDB directly — models are only needed for the API layer.</t>
        </is>
      </c>
      <c r="K24"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24" s="84" t="inlineStr">
        <is>
          <t>SIM-084 (Alembic — models must match migrated schema), SIM-133, SIM-134</t>
        </is>
      </c>
      <c r="M24" s="84" t="inlineStr">
        <is>
          <t>Only needed for API layer. ETL scripts intentionally bypass ORM for performance.</t>
        </is>
      </c>
    </row>
    <row r="25" ht="124.5" customHeight="1" s="47">
      <c r="A25" s="84" t="inlineStr">
        <is>
          <t>SIM-055</t>
        </is>
      </c>
      <c r="B25" s="84" t="inlineStr">
        <is>
          <t>Design directional HR model with spray-angle park factor splits</t>
        </is>
      </c>
      <c r="C25" s="84" t="inlineStr">
        <is>
          <t>Simulation Loop</t>
        </is>
      </c>
      <c r="D25" s="84" t="inlineStr">
        <is>
          <t>Feature</t>
        </is>
      </c>
      <c r="E25" s="85" t="inlineStr">
        <is>
          <t>P1</t>
        </is>
      </c>
      <c r="F25" s="84" t="inlineStr">
        <is>
          <t>M (3–5 days)</t>
        </is>
      </c>
      <c r="G25" s="84" t="inlineStr">
        <is>
          <t>Data Engineer + Baseball Analyst</t>
        </is>
      </c>
      <c r="H25" s="87" t="inlineStr">
        <is>
          <t>Open</t>
        </is>
      </c>
      <c r="I25" s="84" t="inlineStr">
        <is>
          <t>No</t>
        </is>
      </c>
      <c r="J2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2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25" s="84" t="inlineStr">
        <is>
          <t>SIM-094 (park_factors schema), SIM-063 (park_factors effective_date)</t>
        </is>
      </c>
      <c r="M25" s="84" t="inlineStr">
        <is>
          <t>Directional HR model is critical for HR prop calibration — same exit conditions produce different HR rates by park and direction.</t>
        </is>
      </c>
    </row>
    <row r="26" ht="147" customHeight="1" s="47">
      <c r="A26" s="84" t="inlineStr">
        <is>
          <t>SIM-062</t>
        </is>
      </c>
      <c r="B26" s="84" t="inlineStr">
        <is>
          <t>Upgrade catcher framing to logistic regression on zone distance features</t>
        </is>
      </c>
      <c r="C26" s="84" t="inlineStr">
        <is>
          <t>Simulation Loop</t>
        </is>
      </c>
      <c r="D26" s="84" t="inlineStr">
        <is>
          <t>Feature</t>
        </is>
      </c>
      <c r="E26" s="85" t="inlineStr">
        <is>
          <t>P1</t>
        </is>
      </c>
      <c r="F26" s="84" t="inlineStr">
        <is>
          <t>M (3–5 days)</t>
        </is>
      </c>
      <c r="G26" s="84" t="inlineStr">
        <is>
          <t>Data Engineer + Baseball Analyst</t>
        </is>
      </c>
      <c r="H26" s="87" t="inlineStr">
        <is>
          <t>Open</t>
        </is>
      </c>
      <c r="I26" s="84" t="inlineStr">
        <is>
          <t>No</t>
        </is>
      </c>
      <c r="J26"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6"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6" s="84" t="inlineStr">
        <is>
          <t>SIM-043 (catcher schema columns), SIM-108 (step_outcome.py stub)</t>
        </is>
      </c>
      <c r="M26" s="84" t="inlineStr">
        <is>
          <t>Framing directly impacts called strike rate which affects pitcher K totals — relevant for K prop calibration.</t>
        </is>
      </c>
    </row>
    <row r="27" ht="135.75" customHeight="1" s="47">
      <c r="A27" s="84" t="inlineStr">
        <is>
          <t>SIM-094</t>
        </is>
      </c>
      <c r="B27" s="84" t="inlineStr">
        <is>
          <t>Add directional HR distance columns to derived.park_factors</t>
        </is>
      </c>
      <c r="C27" s="84" t="inlineStr">
        <is>
          <t>Schema / ETL</t>
        </is>
      </c>
      <c r="D27" s="84" t="inlineStr">
        <is>
          <t>Feature</t>
        </is>
      </c>
      <c r="E27" s="85" t="inlineStr">
        <is>
          <t>P1</t>
        </is>
      </c>
      <c r="F27" s="84" t="inlineStr">
        <is>
          <t>M (3–5 days)</t>
        </is>
      </c>
      <c r="G27" s="84" t="inlineStr">
        <is>
          <t>Data Engineer + Baseball Analyst</t>
        </is>
      </c>
      <c r="H27" s="87" t="inlineStr">
        <is>
          <t>Open</t>
        </is>
      </c>
      <c r="I27" s="84" t="inlineStr">
        <is>
          <t>No</t>
        </is>
      </c>
      <c r="J27" s="84" t="inlineStr">
        <is>
          <t>The directional HR model (SIM-055) requires minimum fence distances by spray angle bucket per venue. Current park_factors has no directional columns. BA must confirm spray-angle bucket boundaries before implementation begins.</t>
        </is>
      </c>
      <c r="K27"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27" s="84" t="inlineStr">
        <is>
          <t>SIM-063 (park_factors PRIMARY KEY change), SIM-084, Baseball Analyst sign-off</t>
        </is>
      </c>
      <c r="M27" s="84" t="inlineStr">
        <is>
          <t>Blocks SIM-055 (directional HR model in simulation loop).</t>
        </is>
      </c>
    </row>
    <row r="28" ht="191.25" customHeight="1" s="47">
      <c r="A28" s="84" t="inlineStr">
        <is>
          <t>SIM-043</t>
        </is>
      </c>
      <c r="B28" s="84" t="inlineStr">
        <is>
          <t>Build catcher similarity engine (2.6) — requires schema columns, speed-adjusted CS rate</t>
        </is>
      </c>
      <c r="C28" s="84" t="inlineStr">
        <is>
          <t>Similarity Engines</t>
        </is>
      </c>
      <c r="D28" s="84" t="inlineStr">
        <is>
          <t>Feature</t>
        </is>
      </c>
      <c r="E28" s="85" t="inlineStr">
        <is>
          <t>P1</t>
        </is>
      </c>
      <c r="F28" s="84" t="inlineStr">
        <is>
          <t>L (1–2 weeks)</t>
        </is>
      </c>
      <c r="G28" s="84" t="inlineStr">
        <is>
          <t>Data Engineer + ML Engineer</t>
        </is>
      </c>
      <c r="H28" s="87" t="inlineStr">
        <is>
          <t>Open</t>
        </is>
      </c>
      <c r="I28" s="84" t="inlineStr">
        <is>
          <t>No</t>
        </is>
      </c>
      <c r="J28"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28"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28" s="84" t="inlineStr">
        <is>
          <t>SIM-071, SIM-077 (sprint speed join in profile computor), SIM-084</t>
        </is>
      </c>
      <c r="M28" s="84" t="inlineStr">
        <is>
          <t>Catcher throwing features feed into steal determination — Phase 4 Step 1.</t>
        </is>
      </c>
    </row>
    <row r="29" ht="147" customHeight="1" s="47">
      <c r="A29" s="84" t="inlineStr">
        <is>
          <t>SIM-057</t>
        </is>
      </c>
      <c r="B29" s="84" t="inlineStr">
        <is>
          <t>Add opener_rate, extreme_shift_rate, intentional_walk_rate to manager profiles</t>
        </is>
      </c>
      <c r="C29" s="84" t="inlineStr">
        <is>
          <t>Schema / ETL</t>
        </is>
      </c>
      <c r="D29" s="84" t="inlineStr">
        <is>
          <t>Improvement</t>
        </is>
      </c>
      <c r="E29" s="85" t="inlineStr">
        <is>
          <t>P1</t>
        </is>
      </c>
      <c r="F29" s="84" t="inlineStr">
        <is>
          <t>M (3–5 days)</t>
        </is>
      </c>
      <c r="G29" s="84" t="inlineStr">
        <is>
          <t>Data Engineer + ML Engineer</t>
        </is>
      </c>
      <c r="H29" s="87" t="inlineStr">
        <is>
          <t>Open</t>
        </is>
      </c>
      <c r="I29" s="84" t="inlineStr">
        <is>
          <t>No</t>
        </is>
      </c>
      <c r="J29"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29"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29" s="84" t="inlineStr">
        <is>
          <t>SIM-084 (DuckDB migration)</t>
        </is>
      </c>
      <c r="M29" s="84" t="inlineStr">
        <is>
          <t>Manager similarity engine (SIM-046) cannot be meaningfully built without these features.</t>
        </is>
      </c>
    </row>
    <row r="30" ht="168.75" customHeight="1" s="47">
      <c r="A30" s="84" t="inlineStr">
        <is>
          <t>SIM-076</t>
        </is>
      </c>
      <c r="B30" s="84" t="inlineStr">
        <is>
          <t>Add recency_weight to all three sim pool tables + walk-forward backtesting harness</t>
        </is>
      </c>
      <c r="C30" s="84" t="inlineStr">
        <is>
          <t>Schema / ETL</t>
        </is>
      </c>
      <c r="D30" s="84" t="inlineStr">
        <is>
          <t>Improvement</t>
        </is>
      </c>
      <c r="E30" s="85" t="inlineStr">
        <is>
          <t>P1</t>
        </is>
      </c>
      <c r="F30" s="84" t="inlineStr">
        <is>
          <t>L (1–2 weeks)</t>
        </is>
      </c>
      <c r="G30" s="84" t="inlineStr">
        <is>
          <t>Data Engineer + ML Engineer</t>
        </is>
      </c>
      <c r="H30" s="87" t="inlineStr">
        <is>
          <t>Closed</t>
        </is>
      </c>
      <c r="I30" s="84" t="inlineStr">
        <is>
          <t>No</t>
        </is>
      </c>
      <c r="J30"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0"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0" s="84" t="inlineStr">
        <is>
          <t>SIM-084, SIM-133 (closing line for BSS calculation), SIM-048 (registry)</t>
        </is>
      </c>
      <c r="M30" s="84" t="inlineStr">
        <is>
          <t>Phase 3 cannot begin until this validates that the engines are predictive.</t>
        </is>
      </c>
    </row>
    <row r="31" ht="147" customHeight="1" s="47">
      <c r="A31" s="84" t="inlineStr">
        <is>
          <t>SIM-048</t>
        </is>
      </c>
      <c r="B31" s="84" t="inlineStr">
        <is>
          <t>Build SimilarityEngineRegistry — unified interface for all 11 engines</t>
        </is>
      </c>
      <c r="C31" s="84" t="inlineStr">
        <is>
          <t>Similarity Engines</t>
        </is>
      </c>
      <c r="D31" s="84" t="inlineStr">
        <is>
          <t>Feature</t>
        </is>
      </c>
      <c r="E31" s="85" t="inlineStr">
        <is>
          <t>P1</t>
        </is>
      </c>
      <c r="F31" s="84" t="inlineStr">
        <is>
          <t>M (3–5 days)</t>
        </is>
      </c>
      <c r="G31" s="84" t="inlineStr">
        <is>
          <t>ML Engineer + Backend Developer</t>
        </is>
      </c>
      <c r="H31" s="87" t="inlineStr">
        <is>
          <t>Closed</t>
        </is>
      </c>
      <c r="I31" s="84" t="inlineStr">
        <is>
          <t>No</t>
        </is>
      </c>
      <c r="J31"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31"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31" s="84" t="inlineStr">
        <is>
          <t>SIM-071 (package structure + base.py), all 11 engines complete</t>
        </is>
      </c>
      <c r="M31" s="84" t="inlineStr">
        <is>
          <t>Phase 2 completion gate — registry is the final deliverable.</t>
        </is>
      </c>
    </row>
    <row r="32" ht="135.75" customHeight="1" s="47">
      <c r="A32" s="84" t="inlineStr">
        <is>
          <t>SIM-052</t>
        </is>
      </c>
      <c r="B32" s="84" t="inlineStr">
        <is>
          <t>Add pitch-archetype pre-filter to pitcher similarity engine</t>
        </is>
      </c>
      <c r="C32" s="84" t="inlineStr">
        <is>
          <t>Similarity Engines</t>
        </is>
      </c>
      <c r="D32" s="84" t="inlineStr">
        <is>
          <t>Improvement</t>
        </is>
      </c>
      <c r="E32" s="88" t="inlineStr">
        <is>
          <t>P2</t>
        </is>
      </c>
      <c r="F32" s="84" t="inlineStr">
        <is>
          <t>S (1–2 days)</t>
        </is>
      </c>
      <c r="G32" s="84" t="inlineStr">
        <is>
          <t>ML Engineer + Baseball Analyst</t>
        </is>
      </c>
      <c r="H32" s="87" t="inlineStr">
        <is>
          <t>Open</t>
        </is>
      </c>
      <c r="I32" s="84" t="inlineStr">
        <is>
          <t>No</t>
        </is>
      </c>
      <c r="J3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3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32" s="84" t="inlineStr">
        <is>
          <t>SIM-041 (pitch-to-pitch engine must exist first)</t>
        </is>
      </c>
      <c r="M32" s="84" t="inlineStr">
        <is>
          <t>Improvement to pitch selection quality — optional filter, not required for correctness.</t>
        </is>
      </c>
    </row>
    <row r="33" ht="124.5" customHeight="1" s="47">
      <c r="A33" s="84" t="inlineStr">
        <is>
          <t>SIM-046</t>
        </is>
      </c>
      <c r="B33" s="84" t="inlineStr">
        <is>
          <t>Build manager similarity engine (2.8)</t>
        </is>
      </c>
      <c r="C33" s="84" t="inlineStr">
        <is>
          <t>Similarity Engines</t>
        </is>
      </c>
      <c r="D33" s="84" t="inlineStr">
        <is>
          <t>Feature</t>
        </is>
      </c>
      <c r="E33" s="85" t="inlineStr">
        <is>
          <t>P1</t>
        </is>
      </c>
      <c r="F33" s="84" t="inlineStr">
        <is>
          <t>M (3–5 days)</t>
        </is>
      </c>
      <c r="G33" s="84" t="inlineStr">
        <is>
          <t>ML Engineer + Data Engineer</t>
        </is>
      </c>
      <c r="H33" s="87" t="inlineStr">
        <is>
          <t>Open</t>
        </is>
      </c>
      <c r="I33" s="84" t="inlineStr">
        <is>
          <t>No</t>
        </is>
      </c>
      <c r="J33"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33"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33" s="84" t="inlineStr">
        <is>
          <t>SIM-071, SIM-057 (manager schema additions)</t>
        </is>
      </c>
      <c r="M33" s="84" t="inlineStr">
        <is>
          <t>Manager engine powers Phase 4 Step 7 (manager decision logic).</t>
        </is>
      </c>
    </row>
    <row r="34" ht="113.25" customHeight="1" s="47">
      <c r="A34" s="84" t="inlineStr">
        <is>
          <t>SIM-053</t>
        </is>
      </c>
      <c r="B34" s="84" t="inlineStr">
        <is>
          <t>Add two-strike count-stratified features to batter engine</t>
        </is>
      </c>
      <c r="C34" s="84" t="inlineStr">
        <is>
          <t>Similarity Engines</t>
        </is>
      </c>
      <c r="D34" s="84" t="inlineStr">
        <is>
          <t>Improvement</t>
        </is>
      </c>
      <c r="E34" s="88" t="inlineStr">
        <is>
          <t>P2</t>
        </is>
      </c>
      <c r="F34" s="84" t="inlineStr">
        <is>
          <t>M (3–5 days)</t>
        </is>
      </c>
      <c r="G34" s="84" t="inlineStr">
        <is>
          <t>ML Engineer + Data Engineer</t>
        </is>
      </c>
      <c r="H34" s="87" t="inlineStr">
        <is>
          <t>Open</t>
        </is>
      </c>
      <c r="I34" s="84" t="inlineStr">
        <is>
          <t>No</t>
        </is>
      </c>
      <c r="J34"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34"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34" s="84" t="inlineStr">
        <is>
          <t>SIM-069 (platoon calibration fix should land first)</t>
        </is>
      </c>
      <c r="M34" s="84" t="inlineStr">
        <is>
          <t>Important for strikeout prop accuracy — the primary prop market.</t>
        </is>
      </c>
    </row>
    <row r="35" ht="102" customHeight="1" s="47">
      <c r="A35" s="84" t="inlineStr">
        <is>
          <t>SIM-054</t>
        </is>
      </c>
      <c r="B35" s="84" t="inlineStr">
        <is>
          <t>Replace xBA/xSLG with wOBAcon/ISO in batter power sub-score</t>
        </is>
      </c>
      <c r="C35" s="84" t="inlineStr">
        <is>
          <t>Similarity Engines</t>
        </is>
      </c>
      <c r="D35" s="84" t="inlineStr">
        <is>
          <t>Improvement</t>
        </is>
      </c>
      <c r="E35" s="88" t="inlineStr">
        <is>
          <t>P2</t>
        </is>
      </c>
      <c r="F35" s="84" t="inlineStr">
        <is>
          <t>S (1–2 days)</t>
        </is>
      </c>
      <c r="G35" s="84" t="inlineStr">
        <is>
          <t>ML Engineer + Data Engineer</t>
        </is>
      </c>
      <c r="H35" s="87" t="inlineStr">
        <is>
          <t>Open</t>
        </is>
      </c>
      <c r="I35" s="84" t="inlineStr">
        <is>
          <t>No</t>
        </is>
      </c>
      <c r="J35"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35"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35" s="84" t="inlineStr">
        <is>
          <t>Baseball Analyst sign-off</t>
        </is>
      </c>
      <c r="M35" s="84" t="inlineStr">
        <is>
          <t>Minor feature improvement — lower priority than core bugs but should land in Phase 2.</t>
        </is>
      </c>
    </row>
    <row r="36" ht="147" customHeight="1" s="47">
      <c r="A36" s="84" t="inlineStr">
        <is>
          <t>SIM-059</t>
        </is>
      </c>
      <c r="B36" s="84" t="inlineStr">
        <is>
          <t>Revise pitcher-allowing-SBs feature set: stretch timing, pickoff success, delivery metrics</t>
        </is>
      </c>
      <c r="C36" s="84" t="inlineStr">
        <is>
          <t>Similarity Engines</t>
        </is>
      </c>
      <c r="D36" s="84" t="inlineStr">
        <is>
          <t>Improvement</t>
        </is>
      </c>
      <c r="E36" s="85" t="inlineStr">
        <is>
          <t>P1</t>
        </is>
      </c>
      <c r="F36" s="84" t="inlineStr">
        <is>
          <t>M (3–5 days)</t>
        </is>
      </c>
      <c r="G36" s="84" t="inlineStr">
        <is>
          <t>ML Engineer + Data Engineer</t>
        </is>
      </c>
      <c r="H36" s="87" t="inlineStr">
        <is>
          <t>Open</t>
        </is>
      </c>
      <c r="I36" s="84" t="inlineStr">
        <is>
          <t>No</t>
        </is>
      </c>
      <c r="J36"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36"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36" s="84" t="inlineStr">
        <is>
          <t>Baseball Analyst sign-off required before implementation</t>
        </is>
      </c>
      <c r="M36" s="84" t="inlineStr">
        <is>
          <t>Feature definition must be locked before SIM-045 (pitcher-steal engine) is built.</t>
        </is>
      </c>
    </row>
    <row r="37" ht="168.75" customHeight="1" s="47">
      <c r="A37" s="84" t="inlineStr">
        <is>
          <t>SIM-075</t>
        </is>
      </c>
      <c r="B37" s="84" t="inlineStr">
        <is>
          <t>Vectorize arsenal W2 cache lookup — replace O(N) Python dict loop with NumPy matrix row slice</t>
        </is>
      </c>
      <c r="C37" s="84" t="inlineStr">
        <is>
          <t>Performance</t>
        </is>
      </c>
      <c r="D37" s="84" t="inlineStr">
        <is>
          <t>Improvement</t>
        </is>
      </c>
      <c r="E37" s="85" t="inlineStr">
        <is>
          <t>P1</t>
        </is>
      </c>
      <c r="F37" s="84" t="inlineStr">
        <is>
          <t>M (3–5 days)</t>
        </is>
      </c>
      <c r="G37" s="84" t="inlineStr">
        <is>
          <t>ML Engineer + Performance Engineer</t>
        </is>
      </c>
      <c r="H37" s="87" t="inlineStr">
        <is>
          <t>Closed</t>
        </is>
      </c>
      <c r="I37" s="84" t="inlineStr">
        <is>
          <t>No</t>
        </is>
      </c>
      <c r="J37"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7"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7" s="84" t="inlineStr">
        <is>
          <t>SIM-071 (base.py refactor should happen first)</t>
        </is>
      </c>
      <c r="M37" s="84" t="inlineStr">
        <is>
          <t>FATAL SLA risk if not fixed before Phase 4 simulation loop builds on top of the cache.</t>
        </is>
      </c>
    </row>
    <row r="38" ht="135.75" customHeight="1" s="47">
      <c r="A38" s="84" t="inlineStr">
        <is>
          <t>SIM-149</t>
        </is>
      </c>
      <c r="B38" s="84" t="inlineStr">
        <is>
          <t>Create tests/unit/test_baserunner_similarity.py — engine marked complete but untested</t>
        </is>
      </c>
      <c r="C38" s="84" t="inlineStr">
        <is>
          <t>Testing</t>
        </is>
      </c>
      <c r="D38" s="84" t="inlineStr">
        <is>
          <t>Bug</t>
        </is>
      </c>
      <c r="E38" s="85" t="inlineStr">
        <is>
          <t>P1</t>
        </is>
      </c>
      <c r="F38" s="84" t="inlineStr">
        <is>
          <t>M (3–5 days)</t>
        </is>
      </c>
      <c r="G38" s="84" t="inlineStr">
        <is>
          <t>ML Engineer + QA/DevOps</t>
        </is>
      </c>
      <c r="H38" s="87" t="inlineStr">
        <is>
          <t>Closed</t>
        </is>
      </c>
      <c r="I38" s="84" t="inlineStr">
        <is>
          <t>No</t>
        </is>
      </c>
      <c r="J3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3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38" s="84" t="inlineStr">
        <is>
          <t>SIM-070, SIM-077 (bugs must be fixed first)</t>
        </is>
      </c>
      <c r="M38" s="84" t="inlineStr">
        <is>
          <t>Phase 2 cannot be closed without this file.</t>
        </is>
      </c>
    </row>
    <row r="39" ht="113.25" customHeight="1" s="47">
      <c r="A39" s="84" t="inlineStr">
        <is>
          <t>SIM-150</t>
        </is>
      </c>
      <c r="B39" s="84" t="inlineStr">
        <is>
          <t>Extend test_similarity_calibration.py to cover all 5 MLE calibration bugs</t>
        </is>
      </c>
      <c r="C39" s="84" t="inlineStr">
        <is>
          <t>Testing</t>
        </is>
      </c>
      <c r="D39" s="84" t="inlineStr">
        <is>
          <t>Bug</t>
        </is>
      </c>
      <c r="E39" s="85" t="inlineStr">
        <is>
          <t>P1</t>
        </is>
      </c>
      <c r="F39" s="84" t="inlineStr">
        <is>
          <t>S (1–2 days)</t>
        </is>
      </c>
      <c r="G39" s="84" t="inlineStr">
        <is>
          <t>ML Engineer + QA/DevOps</t>
        </is>
      </c>
      <c r="H39" s="87" t="inlineStr">
        <is>
          <t>Closed</t>
        </is>
      </c>
      <c r="I39" s="84" t="inlineStr">
        <is>
          <t>No</t>
        </is>
      </c>
      <c r="J3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3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39" s="84" t="inlineStr">
        <is>
          <t>SIM-066, SIM-067, SIM-068, SIM-069, SIM-073 (bugs fixed first)</t>
        </is>
      </c>
      <c r="M39" s="84" t="inlineStr">
        <is>
          <t>Retroactive regression coverage — prevents all 5 calibration bugs from re-appearing.</t>
        </is>
      </c>
    </row>
    <row r="40" hidden="1" ht="23.25" customHeight="1" s="47">
      <c r="A40" s="84" t="inlineStr">
        <is>
          <t>SIM-066</t>
        </is>
      </c>
      <c r="B40" s="84" t="inlineStr">
        <is>
          <t>BaserunnerStealSimilarityEngine (Step 2.5)</t>
        </is>
      </c>
      <c r="C40" s="84" t="inlineStr">
        <is>
          <t>Similarity Engines</t>
        </is>
      </c>
      <c r="D40" s="84" t="inlineStr">
        <is>
          <t>Feature</t>
        </is>
      </c>
      <c r="E40" s="85" t="inlineStr">
        <is>
          <t>P1</t>
        </is>
      </c>
      <c r="F40" s="84" t="inlineStr">
        <is>
          <t>M</t>
        </is>
      </c>
      <c r="G40" s="84" t="inlineStr">
        <is>
          <t>ML Engineer</t>
        </is>
      </c>
      <c r="H40" s="89" t="inlineStr">
        <is>
          <t>Closed</t>
        </is>
      </c>
      <c r="I40" s="84" t="inlineStr">
        <is>
          <t>No</t>
        </is>
      </c>
      <c r="J40" s="84" t="inlineStr">
        <is>
          <t>No engine matched baserunners by steal tendency / first-step / success.</t>
        </is>
      </c>
      <c r="K40" s="84" t="inlineStr">
        <is>
          <t>RBF engine with 3 sub-scores (tendency 40, jump 35, success 25); EB_N_PRIOR=20.</t>
        </is>
      </c>
      <c r="L40" s="84" t="inlineStr">
        <is>
          <t>SIM-071 (package structure)</t>
        </is>
      </c>
      <c r="M40" s="84" t="inlineStr">
        <is>
          <t>Shipped sprint 2026-05-05. Full details in CHANGES.md.</t>
        </is>
      </c>
    </row>
    <row r="41" hidden="1" ht="23.25" customHeight="1" s="47">
      <c r="A41" s="84" t="inlineStr">
        <is>
          <t>SIM-067</t>
        </is>
      </c>
      <c r="B41" s="84" t="inlineStr">
        <is>
          <t>CatcherSimilarityEngine (Step 2.6)</t>
        </is>
      </c>
      <c r="C41" s="84" t="inlineStr">
        <is>
          <t>Similarity Engines</t>
        </is>
      </c>
      <c r="D41" s="84" t="inlineStr">
        <is>
          <t>Feature</t>
        </is>
      </c>
      <c r="E41" s="85" t="inlineStr">
        <is>
          <t>P1</t>
        </is>
      </c>
      <c r="F41" s="84" t="inlineStr">
        <is>
          <t>M</t>
        </is>
      </c>
      <c r="G41" s="84" t="inlineStr">
        <is>
          <t>ML Engineer</t>
        </is>
      </c>
      <c r="H41" s="89" t="inlineStr">
        <is>
          <t>Closed</t>
        </is>
      </c>
      <c r="I41" s="84" t="inlineStr">
        <is>
          <t>No</t>
        </is>
      </c>
      <c r="J41" s="84" t="inlineStr">
        <is>
          <t>Multi-dimensional catcher profile (framing, blocking, throwing, offense).</t>
        </is>
      </c>
      <c r="K41" s="84" t="inlineStr">
        <is>
          <t>RBF with 4 sub-scores; EB_N_PRIOR=15; min 300 pitches received.</t>
        </is>
      </c>
      <c r="L41" s="84" t="inlineStr">
        <is>
          <t>SIM-071</t>
        </is>
      </c>
      <c r="M41" s="84" t="inlineStr">
        <is>
          <t>Shipped sprint 2026-05-05. Superseded for throwing split by SIM-072.</t>
        </is>
      </c>
    </row>
    <row r="42" hidden="1" ht="23.25" customHeight="1" s="47">
      <c r="A42" s="84" t="inlineStr">
        <is>
          <t>SIM-068</t>
        </is>
      </c>
      <c r="B42" s="84" t="inlineStr">
        <is>
          <t>PitcherStealSimilarityEngine (Step 2.7)</t>
        </is>
      </c>
      <c r="C42" s="84" t="inlineStr">
        <is>
          <t>Similarity Engines</t>
        </is>
      </c>
      <c r="D42" s="84" t="inlineStr">
        <is>
          <t>Feature</t>
        </is>
      </c>
      <c r="E42" s="85" t="inlineStr">
        <is>
          <t>P1</t>
        </is>
      </c>
      <c r="F42" s="84" t="inlineStr">
        <is>
          <t>M</t>
        </is>
      </c>
      <c r="G42" s="84" t="inlineStr">
        <is>
          <t>ML Engineer</t>
        </is>
      </c>
      <c r="H42" s="89" t="inlineStr">
        <is>
          <t>Closed</t>
        </is>
      </c>
      <c r="I42" s="84" t="inlineStr">
        <is>
          <t>No</t>
        </is>
      </c>
      <c r="J42" s="84" t="inlineStr">
        <is>
          <t>Pitcher hold-runner / disengagement / pickoff profile.</t>
        </is>
      </c>
      <c r="K42" s="84" t="inlineStr">
        <is>
          <t>RBF with delivery/disengagement/outcomes; EB_N_PRIOR=25.</t>
        </is>
      </c>
      <c r="L42" s="84" t="inlineStr">
        <is>
          <t>SIM-071</t>
        </is>
      </c>
      <c r="M42" s="84" t="inlineStr">
        <is>
          <t>Shipped sprint 2026-05-05.</t>
        </is>
      </c>
    </row>
    <row r="43" hidden="1" ht="23.25" customHeight="1" s="47">
      <c r="A43" s="84" t="inlineStr">
        <is>
          <t>SIM-069</t>
        </is>
      </c>
      <c r="B43" s="84" t="inlineStr">
        <is>
          <t>ManagerSimilarityEngine (Step 2.8)</t>
        </is>
      </c>
      <c r="C43" s="84" t="inlineStr">
        <is>
          <t>Similarity Engines</t>
        </is>
      </c>
      <c r="D43" s="84" t="inlineStr">
        <is>
          <t>Feature</t>
        </is>
      </c>
      <c r="E43" s="85" t="inlineStr">
        <is>
          <t>P1</t>
        </is>
      </c>
      <c r="F43" s="84" t="inlineStr">
        <is>
          <t>M</t>
        </is>
      </c>
      <c r="G43" s="84" t="inlineStr">
        <is>
          <t>ML Engineer</t>
        </is>
      </c>
      <c r="H43" s="89" t="inlineStr">
        <is>
          <t>Closed</t>
        </is>
      </c>
      <c r="I43" s="84" t="inlineStr">
        <is>
          <t>No</t>
        </is>
      </c>
      <c r="J43" s="84" t="inlineStr">
        <is>
          <t>Manager behavioural fingerprint (pitcher usage, aggression, platoon).</t>
        </is>
      </c>
      <c r="K43" s="84" t="inlineStr">
        <is>
          <t>RBF with 3 sub-scores; EB_N_PRIOR=30; min 50 games.</t>
        </is>
      </c>
      <c r="L43" s="84" t="inlineStr">
        <is>
          <t>SIM-071</t>
        </is>
      </c>
      <c r="M43" s="84" t="inlineStr">
        <is>
          <t>Shipped sprint 2026-05-05.</t>
        </is>
      </c>
    </row>
    <row r="44" hidden="1" ht="23.25" customHeight="1" s="47">
      <c r="A44" s="84" t="inlineStr">
        <is>
          <t>SIM-070</t>
        </is>
      </c>
      <c r="B44" s="84" t="inlineStr">
        <is>
          <t>SituationSimilarityEngine (Step 2.9) — KDTree</t>
        </is>
      </c>
      <c r="C44" s="84" t="inlineStr">
        <is>
          <t>Similarity Engines</t>
        </is>
      </c>
      <c r="D44" s="84" t="inlineStr">
        <is>
          <t>Feature</t>
        </is>
      </c>
      <c r="E44" s="85" t="inlineStr">
        <is>
          <t>P1</t>
        </is>
      </c>
      <c r="F44" s="84" t="inlineStr">
        <is>
          <t>L</t>
        </is>
      </c>
      <c r="G44" s="84" t="inlineStr">
        <is>
          <t>ML Engineer</t>
        </is>
      </c>
      <c r="H44" s="89" t="inlineStr">
        <is>
          <t>Closed</t>
        </is>
      </c>
      <c r="I44" s="84" t="inlineStr">
        <is>
          <t>No</t>
        </is>
      </c>
      <c r="J44" s="84" t="inlineStr">
        <is>
          <t>Per-PA situation lookup (count + outs + baserunners + leverage).</t>
        </is>
      </c>
      <c r="K44" s="84" t="inlineStr">
        <is>
          <t>scipy KDTree; 11-feature SituationVector; importance-weighted scaling.</t>
        </is>
      </c>
      <c r="L44" s="84" t="inlineStr">
        <is>
          <t>SIM-071</t>
        </is>
      </c>
      <c r="M44" s="84" t="inlineStr">
        <is>
          <t>Shipped sprint 2026-05-05.</t>
        </is>
      </c>
    </row>
    <row r="45" hidden="1" ht="23.25" customHeight="1" s="47">
      <c r="A45" s="84" t="inlineStr">
        <is>
          <t>SIM-071</t>
        </is>
      </c>
      <c r="B45" s="84" t="inlineStr">
        <is>
          <t>ML Engine Tests + Diagnostics Enhancement</t>
        </is>
      </c>
      <c r="C45" s="84" t="inlineStr">
        <is>
          <t>Testing</t>
        </is>
      </c>
      <c r="D45" s="84" t="inlineStr">
        <is>
          <t>Feature</t>
        </is>
      </c>
      <c r="E45" s="85" t="inlineStr">
        <is>
          <t>P1</t>
        </is>
      </c>
      <c r="F45" s="84" t="inlineStr">
        <is>
          <t>M</t>
        </is>
      </c>
      <c r="G45" s="84" t="inlineStr">
        <is>
          <t>ML Engineer</t>
        </is>
      </c>
      <c r="H45" s="89" t="inlineStr">
        <is>
          <t>Closed</t>
        </is>
      </c>
      <c r="I45" s="84" t="inlineStr">
        <is>
          <t>No</t>
        </is>
      </c>
      <c r="J45" s="84" t="inlineStr">
        <is>
          <t>No tests for SIM-066..070 + run_generic_diagnostics didn't exist.</t>
        </is>
      </c>
      <c r="K45" s="84" t="inlineStr">
        <is>
          <t>Added run_generic_diagnostics; ~50 new unit tests across 7 classes.</t>
        </is>
      </c>
      <c r="L45" s="84" t="inlineStr">
        <is>
          <t>SIM-066..070</t>
        </is>
      </c>
      <c r="M45" s="84" t="inlineStr">
        <is>
          <t>Shipped sprint 2026-05-05.</t>
        </is>
      </c>
    </row>
    <row r="46" hidden="1" ht="23.25" customHeight="1" s="47">
      <c r="A46" s="84" t="inlineStr">
        <is>
          <t>SIM-082</t>
        </is>
      </c>
      <c r="B46" s="84" t="inlineStr">
        <is>
          <t>Fix ON CONFLICT Crash in _upsert_lineup_state()</t>
        </is>
      </c>
      <c r="C46" s="84" t="inlineStr">
        <is>
          <t>Live Pipeline</t>
        </is>
      </c>
      <c r="D46" s="84" t="inlineStr">
        <is>
          <t>Bug</t>
        </is>
      </c>
      <c r="E46" s="85" t="inlineStr">
        <is>
          <t>P1</t>
        </is>
      </c>
      <c r="F46" s="84" t="inlineStr">
        <is>
          <t>S</t>
        </is>
      </c>
      <c r="G46" s="84" t="inlineStr">
        <is>
          <t>Data Engineer</t>
        </is>
      </c>
      <c r="H46" s="89" t="inlineStr">
        <is>
          <t>Closed</t>
        </is>
      </c>
      <c r="I46" s="84" t="inlineStr">
        <is>
          <t>No</t>
        </is>
      </c>
      <c r="J46" s="84" t="inlineStr">
        <is>
          <t>Missing unique partial index made every live lineup upsert raise.</t>
        </is>
      </c>
      <c r="K46" s="84" t="inlineStr">
        <is>
          <t>Alembic migration 0002 adds idx_lineup_state_live_game.</t>
        </is>
      </c>
      <c r="L46" s="84" t="inlineStr">
        <is>
          <t>SIM-084</t>
        </is>
      </c>
      <c r="M46" s="84" t="inlineStr">
        <is>
          <t>Shipped sprint 2026-05-05.</t>
        </is>
      </c>
    </row>
    <row r="47" hidden="1" ht="23.25" customHeight="1" s="47">
      <c r="A47" s="84" t="inlineStr">
        <is>
          <t>SIM-083</t>
        </is>
      </c>
      <c r="B47" s="84" t="inlineStr">
        <is>
          <t>Move ETL Freshness DDL into Canonical Schema</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FRESHNESS_TABLE_DDL was a dead string constant; table never existed.</t>
        </is>
      </c>
      <c r="K47" s="84" t="inlineStr">
        <is>
          <t>Migration 0003 creates raw.etl_data_freshness, game_odds, prop_odds, pipeline_run_log.</t>
        </is>
      </c>
      <c r="L47" s="84" t="inlineStr">
        <is>
          <t>SIM-084</t>
        </is>
      </c>
      <c r="M47" s="84" t="inlineStr">
        <is>
          <t>Shipped sprint 2026-05-05.</t>
        </is>
      </c>
    </row>
    <row r="48" hidden="1" ht="23.25" customHeight="1" s="47">
      <c r="A48" s="84" t="inlineStr">
        <is>
          <t>SIM-084</t>
        </is>
      </c>
      <c r="B48" s="84" t="inlineStr">
        <is>
          <t>Initialize Alembic Migration Framework</t>
        </is>
      </c>
      <c r="C48" s="84" t="inlineStr">
        <is>
          <t>Infrastructure</t>
        </is>
      </c>
      <c r="D48" s="84" t="inlineStr">
        <is>
          <t>Gap</t>
        </is>
      </c>
      <c r="E48" s="85" t="inlineStr">
        <is>
          <t>P1</t>
        </is>
      </c>
      <c r="F48" s="84" t="inlineStr">
        <is>
          <t>M</t>
        </is>
      </c>
      <c r="G48" s="84" t="inlineStr">
        <is>
          <t>Data Engineer</t>
        </is>
      </c>
      <c r="H48" s="89" t="inlineStr">
        <is>
          <t>Closed</t>
        </is>
      </c>
      <c r="I48" s="84" t="inlineStr">
        <is>
          <t>No</t>
        </is>
      </c>
      <c r="J48" s="84" t="inlineStr">
        <is>
          <t>No Alembic migrations existed; ~15 schema-change tickets had no path.</t>
        </is>
      </c>
      <c r="K48" s="84" t="inlineStr">
        <is>
          <t>alembic.ini, env.py, 0001 baseline migration, mandatory migration workflow.</t>
        </is>
      </c>
      <c r="L48" s="84" t="inlineStr">
        <is>
          <t>None</t>
        </is>
      </c>
      <c r="M48" s="84" t="inlineStr">
        <is>
          <t>Shipped sprint 2026-05-05. Foundation ticket.</t>
        </is>
      </c>
    </row>
    <row r="49" hidden="1" ht="23.25" customHeight="1" s="47">
      <c r="A49" s="84" t="inlineStr">
        <is>
          <t>SIM-085</t>
        </is>
      </c>
      <c r="B49" s="84" t="inlineStr">
        <is>
          <t>Composite situation index on raw.pitches</t>
        </is>
      </c>
      <c r="C49" s="84" t="inlineStr">
        <is>
          <t>Schema / ETL</t>
        </is>
      </c>
      <c r="D49" s="84" t="inlineStr">
        <is>
          <t>Bug</t>
        </is>
      </c>
      <c r="E49" s="85" t="inlineStr">
        <is>
          <t>P1</t>
        </is>
      </c>
      <c r="F49" s="84" t="inlineStr">
        <is>
          <t>S</t>
        </is>
      </c>
      <c r="G49" s="84" t="inlineStr">
        <is>
          <t>Data Engineer</t>
        </is>
      </c>
      <c r="H49" s="89" t="inlineStr">
        <is>
          <t>Closed</t>
        </is>
      </c>
      <c r="I49" s="84" t="inlineStr">
        <is>
          <t>No</t>
        </is>
      </c>
      <c r="J49" s="84" t="inlineStr">
        <is>
          <t>Step 1.1 required composite (inning,outs,balls,strikes,on_1b,on_2b,on_3b) index.</t>
        </is>
      </c>
      <c r="K49" s="84" t="inlineStr">
        <is>
          <t>Migration 0005; partial index WHERE clean.</t>
        </is>
      </c>
      <c r="L49" s="84" t="inlineStr">
        <is>
          <t>SIM-084</t>
        </is>
      </c>
      <c r="M49" s="84" t="inlineStr">
        <is>
          <t>Shipped sprint 2026-05-06. PM-accepted 2026-05-07.</t>
        </is>
      </c>
    </row>
    <row r="50" hidden="1" ht="23.25" customHeight="1" s="47">
      <c r="A50" s="84" t="inlineStr">
        <is>
          <t>SIM-086</t>
        </is>
      </c>
      <c r="B50" s="84" t="inlineStr">
        <is>
          <t>Fix live pipeline venue_id=0 FK violation</t>
        </is>
      </c>
      <c r="C50" s="84" t="inlineStr">
        <is>
          <t>Live Pipeline</t>
        </is>
      </c>
      <c r="D50" s="84" t="inlineStr">
        <is>
          <t>Bug</t>
        </is>
      </c>
      <c r="E50" s="85" t="inlineStr">
        <is>
          <t>P1</t>
        </is>
      </c>
      <c r="F50" s="84" t="inlineStr">
        <is>
          <t>S</t>
        </is>
      </c>
      <c r="G50" s="84" t="inlineStr">
        <is>
          <t>Data Engineer</t>
        </is>
      </c>
      <c r="H50" s="89" t="inlineStr">
        <is>
          <t>Closed</t>
        </is>
      </c>
      <c r="I50" s="84" t="inlineStr">
        <is>
          <t>No</t>
        </is>
      </c>
      <c r="J50" s="84" t="inlineStr">
        <is>
          <t>_upsert_game_record inserted 0 sentinel; FK violation silently dropped game.</t>
        </is>
      </c>
      <c r="K50" s="84" t="inlineStr">
        <is>
          <t>Migration 0006 makes venue_id nullable; venue_backfill_job.py.</t>
        </is>
      </c>
      <c r="L50" s="84" t="inlineStr">
        <is>
          <t>SIM-084</t>
        </is>
      </c>
      <c r="M50" s="84" t="inlineStr">
        <is>
          <t>Shipped sprint 2026-05-06. PM-accepted 2026-05-07.</t>
        </is>
      </c>
    </row>
    <row r="51" hidden="1" ht="23.25" customHeight="1" s="47">
      <c r="A51" s="84" t="inlineStr">
        <is>
          <t>SIM-087</t>
        </is>
      </c>
      <c r="B51" s="84" t="inlineStr">
        <is>
          <t>Lower ETL release_speed warning threshold</t>
        </is>
      </c>
      <c r="C51" s="84" t="inlineStr">
        <is>
          <t>Schema / ETL</t>
        </is>
      </c>
      <c r="D51" s="84" t="inlineStr">
        <is>
          <t>Bug</t>
        </is>
      </c>
      <c r="E51" s="85" t="inlineStr">
        <is>
          <t>P1</t>
        </is>
      </c>
      <c r="F51" s="84" t="inlineStr">
        <is>
          <t>S</t>
        </is>
      </c>
      <c r="G51" s="84" t="inlineStr">
        <is>
          <t>Data Engineer</t>
        </is>
      </c>
      <c r="H51" s="89" t="inlineStr">
        <is>
          <t>Closed</t>
        </is>
      </c>
      <c r="I51" s="84" t="inlineStr">
        <is>
          <t>No</t>
        </is>
      </c>
      <c r="J51" s="84" t="inlineStr">
        <is>
          <t>70 mph threshold flagged legitimate slow curveballs as bad data.</t>
        </is>
      </c>
      <c r="K51" s="84" t="inlineStr">
        <is>
          <t>Validator 70-&gt;60 mph; trigger 60-&gt;50 mph via migration 0007.</t>
        </is>
      </c>
      <c r="L51" s="84" t="inlineStr">
        <is>
          <t>SIM-084</t>
        </is>
      </c>
      <c r="M51" s="84" t="inlineStr">
        <is>
          <t>Shipped sprint 2026-05-06. PM-accepted 2026-05-07.</t>
        </is>
      </c>
    </row>
    <row r="52" hidden="1" ht="23.25" customHeight="1" s="47">
      <c r="A52" s="84" t="inlineStr">
        <is>
          <t>SIM-088</t>
        </is>
      </c>
      <c r="B52" s="84" t="inlineStr">
        <is>
          <t>Drop idx_pitches_pitch_type — wasted write overhead</t>
        </is>
      </c>
      <c r="C52" s="84" t="inlineStr">
        <is>
          <t>Schema / ETL</t>
        </is>
      </c>
      <c r="D52" s="84" t="inlineStr">
        <is>
          <t>Improvement</t>
        </is>
      </c>
      <c r="E52" s="85" t="inlineStr">
        <is>
          <t>P1</t>
        </is>
      </c>
      <c r="F52" s="84" t="inlineStr">
        <is>
          <t>S</t>
        </is>
      </c>
      <c r="G52" s="84" t="inlineStr">
        <is>
          <t>Data Engineer</t>
        </is>
      </c>
      <c r="H52" s="89" t="inlineStr">
        <is>
          <t>Closed</t>
        </is>
      </c>
      <c r="I52" s="84" t="inlineStr">
        <is>
          <t>No</t>
        </is>
      </c>
      <c r="J52" s="84" t="inlineStr">
        <is>
          <t>Schema comment said pitch_type is reference-only but standalone index added 15MB/season.</t>
        </is>
      </c>
      <c r="K52" s="84" t="inlineStr">
        <is>
          <t>Migration 0008 DROP INDEX; canonical schema updated; CONCURRENTLY rebuild documented.</t>
        </is>
      </c>
      <c r="L52" s="84" t="inlineStr">
        <is>
          <t>SIM-084</t>
        </is>
      </c>
      <c r="M52" s="84" t="inlineStr">
        <is>
          <t>Shipped sprint 2026-05-06. PM-accepted 2026-05-07.</t>
        </is>
      </c>
    </row>
    <row r="53" hidden="1" ht="23.25" customHeight="1" s="47">
      <c r="A53" s="84" t="inlineStr">
        <is>
          <t>SIM-089</t>
        </is>
      </c>
      <c r="B53" s="84" t="inlineStr">
        <is>
          <t>Composite (pitcher, season) partial index</t>
        </is>
      </c>
      <c r="C53" s="84" t="inlineStr">
        <is>
          <t>Schema / ETL</t>
        </is>
      </c>
      <c r="D53" s="84" t="inlineStr">
        <is>
          <t>Improvement</t>
        </is>
      </c>
      <c r="E53" s="85" t="inlineStr">
        <is>
          <t>P1</t>
        </is>
      </c>
      <c r="F53" s="84" t="inlineStr">
        <is>
          <t>S</t>
        </is>
      </c>
      <c r="G53" s="84" t="inlineStr">
        <is>
          <t>Data Engineer</t>
        </is>
      </c>
      <c r="H53" s="89" t="inlineStr">
        <is>
          <t>Closed</t>
        </is>
      </c>
      <c r="I53" s="84" t="inlineStr">
        <is>
          <t>No</t>
        </is>
      </c>
      <c r="J53" s="84" t="inlineStr">
        <is>
          <t>Profile-computor hot path scanned all rows for a pitcher across seasons.</t>
        </is>
      </c>
      <c r="K53" s="84" t="inlineStr">
        <is>
          <t>Migration 0009 partial composite index WHERE clean.</t>
        </is>
      </c>
      <c r="L53" s="84" t="inlineStr">
        <is>
          <t>SIM-084</t>
        </is>
      </c>
      <c r="M53" s="84" t="inlineStr">
        <is>
          <t>Shipped sprint 2026-05-06. PM-accepted 2026-05-07.</t>
        </is>
      </c>
    </row>
    <row r="54" hidden="1" ht="23.25" customHeight="1" s="47">
      <c r="A54" s="84" t="inlineStr">
        <is>
          <t>SIM-091</t>
        </is>
      </c>
      <c r="B54" s="84" t="inlineStr">
        <is>
          <t>Add detail tables to _delete_seasons()</t>
        </is>
      </c>
      <c r="C54" s="84" t="inlineStr">
        <is>
          <t>Schema / ETL</t>
        </is>
      </c>
      <c r="D54" s="84" t="inlineStr">
        <is>
          <t>Bug</t>
        </is>
      </c>
      <c r="E54" s="85" t="inlineStr">
        <is>
          <t>P1</t>
        </is>
      </c>
      <c r="F54" s="84" t="inlineStr">
        <is>
          <t>S</t>
        </is>
      </c>
      <c r="G54" s="84" t="inlineStr">
        <is>
          <t>Data Engineer</t>
        </is>
      </c>
      <c r="H54" s="89" t="inlineStr">
        <is>
          <t>Closed</t>
        </is>
      </c>
      <c r="I54" s="84" t="inlineStr">
        <is>
          <t>No</t>
        </is>
      </c>
      <c r="J54" s="84" t="inlineStr">
        <is>
          <t>Per-play detail tables missing from full-rebuild deletion list.</t>
        </is>
      </c>
      <c r="K54" s="84" t="inlineStr">
        <is>
          <t>Tables enumerated; regression test parses schema for completeness.</t>
        </is>
      </c>
      <c r="L54" s="84" t="inlineStr">
        <is>
          <t>None</t>
        </is>
      </c>
      <c r="M54" s="84" t="inlineStr">
        <is>
          <t>Shipped sprint 2026-05-06. PM-accepted 2026-05-07.</t>
        </is>
      </c>
    </row>
    <row r="55" hidden="1" ht="34.5" customHeight="1" s="47">
      <c r="A55" s="84" t="inlineStr">
        <is>
          <t>SIM-092</t>
        </is>
      </c>
      <c r="B55" s="84" t="inlineStr">
        <is>
          <t>Deduplicate raw.game_odds inserts</t>
        </is>
      </c>
      <c r="C55" s="84" t="inlineStr">
        <is>
          <t>Schema / ETL</t>
        </is>
      </c>
      <c r="D55" s="84" t="inlineStr">
        <is>
          <t>Improvement</t>
        </is>
      </c>
      <c r="E55" s="85" t="inlineStr">
        <is>
          <t>P1</t>
        </is>
      </c>
      <c r="F55" s="84" t="inlineStr">
        <is>
          <t>S</t>
        </is>
      </c>
      <c r="G55" s="84" t="inlineStr">
        <is>
          <t>Data Engineer</t>
        </is>
      </c>
      <c r="H55" s="89" t="inlineStr">
        <is>
          <t>Closed</t>
        </is>
      </c>
      <c r="I55" s="84" t="inlineStr">
        <is>
          <t>No</t>
        </is>
      </c>
      <c r="J55" s="84" t="inlineStr">
        <is>
          <t>_persist_odds had no ON CONFLICT; ~360 dup rows per 3-hour game.</t>
        </is>
      </c>
      <c r="K55" s="84" t="inlineStr">
        <is>
          <t>odds_hash SHA-256 column + partial unique index + ON CONFLICT DO NOTHING.</t>
        </is>
      </c>
      <c r="L55" s="84" t="inlineStr">
        <is>
          <t>SIM-084</t>
        </is>
      </c>
      <c r="M55" s="84" t="inlineStr">
        <is>
          <t>Shipped sprint 2026-05-07. PM-accepted 2026-05-07. SIM-094 carries forward backfill.</t>
        </is>
      </c>
    </row>
    <row r="56" hidden="1" ht="23.25" customHeight="1" s="47">
      <c r="A56" s="84" t="inlineStr">
        <is>
          <t>SIM-093</t>
        </is>
      </c>
      <c r="B56" s="84" t="inlineStr">
        <is>
          <t>Create raw.etl_errors + wire into ETL</t>
        </is>
      </c>
      <c r="C56" s="84" t="inlineStr">
        <is>
          <t>Schema / ETL</t>
        </is>
      </c>
      <c r="D56" s="84" t="inlineStr">
        <is>
          <t>Gap</t>
        </is>
      </c>
      <c r="E56" s="85" t="inlineStr">
        <is>
          <t>P1</t>
        </is>
      </c>
      <c r="F56" s="84" t="inlineStr">
        <is>
          <t>S</t>
        </is>
      </c>
      <c r="G56" s="84" t="inlineStr">
        <is>
          <t>Data Engineer</t>
        </is>
      </c>
      <c r="H56" s="89" t="inlineStr">
        <is>
          <t>Closed</t>
        </is>
      </c>
      <c r="I56" s="84" t="inlineStr">
        <is>
          <t>No</t>
        </is>
      </c>
      <c r="J56" s="84" t="inlineStr">
        <is>
          <t>Hard validation errors only logged; no audit trail or reprocessing path.</t>
        </is>
      </c>
      <c r="K56" s="84" t="inlineStr">
        <is>
          <t>Migration 0011 creates raw.etl_errors; _log_etl_errors + reprocess_errored_games.</t>
        </is>
      </c>
      <c r="L56" s="84" t="inlineStr">
        <is>
          <t>SIM-084</t>
        </is>
      </c>
      <c r="M56" s="84" t="inlineStr">
        <is>
          <t>Shipped sprint 2026-05-07. PM-accepted 2026-05-07.</t>
        </is>
      </c>
    </row>
    <row r="57" hidden="1" ht="23.25" customHeight="1" s="47">
      <c r="A57" s="84" t="inlineStr">
        <is>
          <t>SIM-099</t>
        </is>
      </c>
      <c r="B57" s="84" t="inlineStr">
        <is>
          <t>Fix Redis Key Mismatch (rate-limit fallback)</t>
        </is>
      </c>
      <c r="C57" s="84" t="inlineStr">
        <is>
          <t>Live Pipeline</t>
        </is>
      </c>
      <c r="D57" s="84" t="inlineStr">
        <is>
          <t>Bug</t>
        </is>
      </c>
      <c r="E57" s="85" t="inlineStr">
        <is>
          <t>P1</t>
        </is>
      </c>
      <c r="F57" s="84" t="inlineStr">
        <is>
          <t>S</t>
        </is>
      </c>
      <c r="G57" s="84" t="inlineStr">
        <is>
          <t>Backend Developer</t>
        </is>
      </c>
      <c r="H57" s="89" t="inlineStr">
        <is>
          <t>Closed</t>
        </is>
      </c>
      <c r="I57" s="84" t="inlineStr">
        <is>
          <t>No</t>
        </is>
      </c>
      <c r="J57" s="84" t="inlineStr">
        <is>
          <t>_cache_to_redis wrote game_state:{pk} but _fetch_feed read game_feed:{pk}.</t>
        </is>
      </c>
      <c r="K57" s="84" t="inlineStr">
        <is>
          <t>Both keys now written; second pitcher_id assignment removed.</t>
        </is>
      </c>
      <c r="L57" s="84" t="inlineStr">
        <is>
          <t>None</t>
        </is>
      </c>
      <c r="M57" s="84" t="inlineStr">
        <is>
          <t>Shipped sprint 2026-05-05.</t>
        </is>
      </c>
    </row>
    <row r="58" hidden="1" ht="34.5" customHeight="1" s="47">
      <c r="A58" s="84" t="inlineStr">
        <is>
          <t>SIM-148</t>
        </is>
      </c>
      <c r="B58" s="84" t="inlineStr">
        <is>
          <t>test_pitcher_similarity vacuous assertion + _score_pair guard</t>
        </is>
      </c>
      <c r="C58" s="84" t="inlineStr">
        <is>
          <t>Testing</t>
        </is>
      </c>
      <c r="D58" s="84" t="inlineStr">
        <is>
          <t>Bug</t>
        </is>
      </c>
      <c r="E58" s="85" t="inlineStr">
        <is>
          <t>P1</t>
        </is>
      </c>
      <c r="F58" s="84" t="inlineStr">
        <is>
          <t>S</t>
        </is>
      </c>
      <c r="G58" s="84" t="inlineStr">
        <is>
          <t>ML Engineer + QA/DevOps</t>
        </is>
      </c>
      <c r="H58" s="89" t="inlineStr">
        <is>
          <t>Closed</t>
        </is>
      </c>
      <c r="I58" s="84" t="inlineStr">
        <is>
          <t>No</t>
        </is>
      </c>
      <c r="J58" s="84" t="inlineStr">
        <is>
          <t>release_score asserts were vacuous; no _score_pair shape regression.</t>
        </is>
      </c>
      <c r="K58" s="84" t="inlineStr">
        <is>
          <t>Removed dead asserts; added 3-tuple regression; doctest sentinel.</t>
        </is>
      </c>
      <c r="L58" s="84" t="inlineStr">
        <is>
          <t>SIM-067</t>
        </is>
      </c>
      <c r="M58" s="84" t="inlineStr">
        <is>
          <t>Shipped sprint 2026-05-07. PM-accepted with documented `len==3` deviation from ticket-text `len==4`.</t>
        </is>
      </c>
    </row>
    <row r="59" hidden="1" ht="124.5" customHeight="1" s="47">
      <c r="A59" s="84" t="inlineStr">
        <is>
          <t>SIM-157</t>
        </is>
      </c>
      <c r="B59" s="84" t="inlineStr">
        <is>
          <t>Backfill legacy odds_hash + dedup pass on raw.game_odds</t>
        </is>
      </c>
      <c r="C59" s="84" t="inlineStr">
        <is>
          <t>Schema / ETL</t>
        </is>
      </c>
      <c r="D59" s="84" t="inlineStr">
        <is>
          <t>Improvement</t>
        </is>
      </c>
      <c r="E59" s="85" t="inlineStr">
        <is>
          <t>P1</t>
        </is>
      </c>
      <c r="F59" s="84" t="inlineStr">
        <is>
          <t>S (1–2 days)</t>
        </is>
      </c>
      <c r="G59" s="84" t="inlineStr">
        <is>
          <t>Data Engineer</t>
        </is>
      </c>
      <c r="H59" s="86" t="inlineStr">
        <is>
          <t>Shipped 2026-05-14 (sprint 2026-05-13)</t>
        </is>
      </c>
      <c r="I59" s="84" t="inlineStr">
        <is>
          <t>No</t>
        </is>
      </c>
      <c r="J59" s="84" t="inlineStr">
        <is>
          <t>SIM-092 added odds_hash + partial unique index but only enforces going forward. Pre-SIM-092 rows have NULL odds_hash and contain duplicates, inflating CLV row counts and slowing scans.</t>
        </is>
      </c>
      <c r="K59"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59" s="84" t="inlineStr">
        <is>
          <t>SIM-092 (column + index already shipped)</t>
        </is>
      </c>
      <c r="M59" s="84" t="inlineStr">
        <is>
          <t>Created 2026-05-08 from SIM-092 carry-forward. Renumbered from SIM-094 to avoid collision with the existing Phase 2 polish ticket.</t>
        </is>
      </c>
    </row>
    <row r="60" hidden="1" ht="135.75" customHeight="1" s="47">
      <c r="A60" s="84" t="inlineStr">
        <is>
          <t>SIM-158</t>
        </is>
      </c>
      <c r="B60" s="84" t="inlineStr">
        <is>
          <t>Run EXPLAIN ANALYZE acceptance gates for SIM-085 + SIM-089</t>
        </is>
      </c>
      <c r="C60" s="84" t="inlineStr">
        <is>
          <t>Performance</t>
        </is>
      </c>
      <c r="D60" s="84" t="inlineStr">
        <is>
          <t>Validation</t>
        </is>
      </c>
      <c r="E60" s="85" t="inlineStr">
        <is>
          <t>P1</t>
        </is>
      </c>
      <c r="F60" s="84" t="inlineStr">
        <is>
          <t>S (1–2 days)</t>
        </is>
      </c>
      <c r="G60" s="84" t="inlineStr">
        <is>
          <t>Performance Engineer</t>
        </is>
      </c>
      <c r="H60" s="86" t="inlineStr">
        <is>
          <t>Shipped 2026-05-14 (sprint 2026-05-13)</t>
        </is>
      </c>
      <c r="I60" s="84" t="inlineStr">
        <is>
          <t>No</t>
        </is>
      </c>
      <c r="J60" s="84" t="inlineStr">
        <is>
          <t>SIM-085 (composite situation index) and SIM-089 ((pitcher, season) partial index) shipped with their acceptance gates expressed but not executed — sandbox lacked a populated DB. Once a 2024 staging DB exists, run the gates and record results.</t>
        </is>
      </c>
      <c r="K60"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60" s="84" t="inlineStr">
        <is>
          <t>SIM-085, SIM-089, populated 2024 staging DB</t>
        </is>
      </c>
      <c r="M60" s="84" t="inlineStr">
        <is>
          <t>Created 2026-05-08 from PM acceptance review. Renumbered from SIM-095 to avoid collision with the existing pitch_pool incremental ticket.</t>
        </is>
      </c>
    </row>
    <row r="61" hidden="1" ht="79.5" customHeight="1" s="47">
      <c r="A61" s="84" t="inlineStr">
        <is>
          <t>SIM-159</t>
        </is>
      </c>
      <c r="B61" s="84" t="inlineStr">
        <is>
          <t>Tighten SIM-132 vig RNG so moneyline boundary test is no longer flaky</t>
        </is>
      </c>
      <c r="C61" s="84" t="inlineStr">
        <is>
          <t>Live Pipeline</t>
        </is>
      </c>
      <c r="D61" s="84" t="inlineStr">
        <is>
          <t>Bug</t>
        </is>
      </c>
      <c r="E61" s="85" t="inlineStr">
        <is>
          <t>P1</t>
        </is>
      </c>
      <c r="F61" s="84" t="inlineStr">
        <is>
          <t>S (&lt;1 day)</t>
        </is>
      </c>
      <c r="G61" s="84" t="inlineStr">
        <is>
          <t>Backend Developer</t>
        </is>
      </c>
      <c r="H61" s="86" t="inlineStr">
        <is>
          <t>Shipped 2026-05-14 (sprint 2026-05-13)</t>
        </is>
      </c>
      <c r="I61" s="84" t="inlineStr">
        <is>
          <t>No</t>
        </is>
      </c>
      <c r="J61" s="84" t="inlineStr">
        <is>
          <t>MockOddsAPI samples vig from rng.uniform(0.06, 0.10). Overround = 1 + vig/2 ∈ [1.030, 1.050]. Regression test asserts strict &gt; 1.03; for game_pk=12345 the inflation path produces 1.0286.</t>
        </is>
      </c>
      <c r="K61"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61" s="84" t="inlineStr">
        <is>
          <t>SIM-132 (already shipped)</t>
        </is>
      </c>
      <c r="M61" s="84" t="inlineStr">
        <is>
          <t>Created 2026-05-08 from PM acceptance review. Renumbered from SIM-096 to avoid collision with the existing async-models ticket.</t>
        </is>
      </c>
    </row>
  </sheetData>
  <autoFilter ref="A1:M61">
    <filterColumn colId="7" hiddenButton="0" showButton="1">
      <filters>
        <filter val="Open"/>
      </filters>
    </filterColumn>
  </autoFilter>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Closed</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80" customHeight="1" s="47">
      <c r="A3" s="84" t="inlineStr">
        <is>
          <t>SIM-128</t>
        </is>
      </c>
      <c r="B3" s="84" t="inlineStr">
        <is>
          <t>Redesign override panel as staged-change queue with undo, multi-change, visual indicator system</t>
        </is>
      </c>
      <c r="C3" s="84" t="inlineStr">
        <is>
          <t>Frontend</t>
        </is>
      </c>
      <c r="D3" s="84" t="inlineStr">
        <is>
          <t>Improvement</t>
        </is>
      </c>
      <c r="E3" s="85" t="inlineStr">
        <is>
          <t>P1</t>
        </is>
      </c>
      <c r="F3" s="84" t="inlineStr">
        <is>
          <t>L (1–2 weeks)</t>
        </is>
      </c>
      <c r="G3" s="84" t="inlineStr">
        <is>
          <t>UX Designer</t>
        </is>
      </c>
      <c r="H3" s="87" t="inlineStr">
        <is>
          <t>Open</t>
        </is>
      </c>
      <c r="I3" s="84" t="inlineStr">
        <is>
          <t>No</t>
        </is>
      </c>
      <c r="J3"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3"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3" s="84" t="inlineStr">
        <is>
          <t>SIM-109 (multi-substitution API endpoint), SIM-126 (Game Page layout — override drawer position)</t>
        </is>
      </c>
      <c r="M3" s="84" t="inlineStr">
        <is>
          <t>Most complex UI component — must be fully spec'd before Phase 6 Step 6.5 begins.</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Closed</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24.5" customHeight="1" s="47">
      <c r="A6" s="84" t="inlineStr">
        <is>
          <t>SIM-115</t>
        </is>
      </c>
      <c r="B6" s="84" t="inlineStr">
        <is>
          <t>Prune DuckDB sim pool indexes — keep 3 query-path indexes, drop 8 write-overhead indexes</t>
        </is>
      </c>
      <c r="C6" s="84" t="inlineStr">
        <is>
          <t>Schema / ETL</t>
        </is>
      </c>
      <c r="D6" s="84" t="inlineStr">
        <is>
          <t>Improvement</t>
        </is>
      </c>
      <c r="E6" s="85" t="inlineStr">
        <is>
          <t>P1</t>
        </is>
      </c>
      <c r="F6" s="84" t="inlineStr">
        <is>
          <t>S (&lt; 1 day)</t>
        </is>
      </c>
      <c r="G6" s="84" t="inlineStr">
        <is>
          <t>Data Engineer + Performance Engineer</t>
        </is>
      </c>
      <c r="H6" s="87" t="inlineStr">
        <is>
          <t>Closed</t>
        </is>
      </c>
      <c r="I6" s="84" t="inlineStr">
        <is>
          <t>No</t>
        </is>
      </c>
      <c r="J6"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 s="84" t="inlineStr">
        <is>
          <t>SIM-111 (play pool query contracts must be confirmed first)</t>
        </is>
      </c>
      <c r="M6" s="84" t="inlineStr">
        <is>
          <t>Do not drop indexes until SIM-111 access patterns are confirmed — dropping the wrong index causes a regression.</t>
        </is>
      </c>
    </row>
    <row r="7" ht="135.75" customHeight="1" s="47">
      <c r="A7" s="84" t="inlineStr">
        <is>
          <t>SIM-119</t>
        </is>
      </c>
      <c r="B7" s="84" t="inlineStr">
        <is>
          <t>Define per-step time budget for the 8-step simulation loop</t>
        </is>
      </c>
      <c r="C7" s="84" t="inlineStr">
        <is>
          <t>Performance</t>
        </is>
      </c>
      <c r="D7" s="84" t="inlineStr">
        <is>
          <t>Gap</t>
        </is>
      </c>
      <c r="E7" s="85" t="inlineStr">
        <is>
          <t>P1</t>
        </is>
      </c>
      <c r="F7" s="84" t="inlineStr">
        <is>
          <t>S (&lt; 1 day)</t>
        </is>
      </c>
      <c r="G7" s="84" t="inlineStr">
        <is>
          <t>Performance Engineer + Backend Developer</t>
        </is>
      </c>
      <c r="H7" s="87" t="inlineStr">
        <is>
          <t>Closed</t>
        </is>
      </c>
      <c r="I7" s="84" t="inlineStr">
        <is>
          <t>No</t>
        </is>
      </c>
      <c r="J7" s="84" t="inlineStr">
        <is>
          <t>The 2s single-game SLA has no per-step budget. Without step budgets, Phase 4 has no way to know if each step is on track during implementation. Each step must have a pytest-benchmark assertion as part of its acceptance criteria.</t>
        </is>
      </c>
      <c r="K7"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7" s="84" t="inlineStr">
        <is>
          <t>SIM-118 (benchmark harness infrastructure)</t>
        </is>
      </c>
      <c r="M7" s="84" t="inlineStr">
        <is>
          <t>Step budgets convert the 30s SLA from a post-hoc check into a per-step implementation requirement.</t>
        </is>
      </c>
    </row>
    <row r="8" ht="147" customHeight="1" s="47">
      <c r="A8" s="84" t="inlineStr">
        <is>
          <t>SIM-120</t>
        </is>
      </c>
      <c r="B8" s="84" t="inlineStr">
        <is>
          <t>Benchmark ProcessPoolExecutor vs ThreadPoolExecutor for simulation runner before Phase 5 commits</t>
        </is>
      </c>
      <c r="C8" s="84" t="inlineStr">
        <is>
          <t>Performance</t>
        </is>
      </c>
      <c r="D8" s="84" t="inlineStr">
        <is>
          <t>Gap</t>
        </is>
      </c>
      <c r="E8" s="85" t="inlineStr">
        <is>
          <t>P1</t>
        </is>
      </c>
      <c r="F8" s="84" t="inlineStr">
        <is>
          <t>S (1–2 days)</t>
        </is>
      </c>
      <c r="G8" s="84" t="inlineStr">
        <is>
          <t>Performance Engineer + Backend Developer</t>
        </is>
      </c>
      <c r="H8" s="87" t="inlineStr">
        <is>
          <t>Open</t>
        </is>
      </c>
      <c r="I8" s="84" t="inlineStr">
        <is>
          <t>No</t>
        </is>
      </c>
      <c r="J8"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8"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8" s="84" t="inlineStr">
        <is>
          <t>Phase 4 simulate_game() must be implemented first</t>
        </is>
      </c>
      <c r="M8" s="84" t="inlineStr">
        <is>
          <t>If threads work, eliminates the entire shared memory complexity of the process pool approach.</t>
        </is>
      </c>
    </row>
    <row r="9" ht="135.75" customHeight="1" s="47">
      <c r="A9" s="84" t="inlineStr">
        <is>
          <t>SIM-113</t>
        </is>
      </c>
      <c r="B9" s="84" t="inlineStr">
        <is>
          <t>Fix GMM batch pipeline performance: dynamic n_workers, eliminate per-pitcher IPC, batch DuckDB writes</t>
        </is>
      </c>
      <c r="C9" s="84" t="inlineStr">
        <is>
          <t>Performance</t>
        </is>
      </c>
      <c r="D9" s="84" t="inlineStr">
        <is>
          <t>Improvement</t>
        </is>
      </c>
      <c r="E9" s="85" t="inlineStr">
        <is>
          <t>P1</t>
        </is>
      </c>
      <c r="F9" s="84" t="inlineStr">
        <is>
          <t>M (3–5 days)</t>
        </is>
      </c>
      <c r="G9" s="84" t="inlineStr">
        <is>
          <t>Performance Engineer + Data Engineer</t>
        </is>
      </c>
      <c r="H9" s="87" t="inlineStr">
        <is>
          <t>Closed</t>
        </is>
      </c>
      <c r="I9" s="84" t="inlineStr">
        <is>
          <t>No</t>
        </is>
      </c>
      <c r="J9"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9"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9" s="84" t="inlineStr">
        <is>
          <t>None</t>
        </is>
      </c>
      <c r="M9" s="84" t="inlineStr">
        <is>
          <t>Makes the nightly batch job tractable before it's run against real multi-season data.</t>
        </is>
      </c>
    </row>
    <row r="10" ht="157.5" customHeight="1" s="47">
      <c r="A10" s="84" t="inlineStr">
        <is>
          <t>SIM-114</t>
        </is>
      </c>
      <c r="B10" s="84" t="inlineStr">
        <is>
          <t>FAISS index design spec: IVFFlat, nprobe, pre-filter requirement, and shared memory strategy</t>
        </is>
      </c>
      <c r="C10" s="84" t="inlineStr">
        <is>
          <t>Performance</t>
        </is>
      </c>
      <c r="D10" s="84" t="inlineStr">
        <is>
          <t>Gap</t>
        </is>
      </c>
      <c r="E10" s="85" t="inlineStr">
        <is>
          <t>P1</t>
        </is>
      </c>
      <c r="F10" s="84" t="inlineStr">
        <is>
          <t>M (3–5 days)</t>
        </is>
      </c>
      <c r="G10" s="84" t="inlineStr">
        <is>
          <t>Performance Engineer + ML Engineer</t>
        </is>
      </c>
      <c r="H10" s="87" t="inlineStr">
        <is>
          <t>Closed</t>
        </is>
      </c>
      <c r="I10" s="84" t="inlineStr">
        <is>
          <t>No</t>
        </is>
      </c>
      <c r="J10" s="84" t="inlineStr">
        <is>
          <t>The current spec says 'FAISS flat index' which at 1M rows would produce ~300 seconds per 100-game batch — 10× over SLA. This ticket produces a written design spec (not implementation) that must be locked before Phase 3 builds the indexes.</t>
        </is>
      </c>
      <c r="K10"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0" s="84" t="inlineStr">
        <is>
          <t>None</t>
        </is>
      </c>
      <c r="M10" s="84" t="inlineStr">
        <is>
          <t>FATAL SLA risk if deferred — wrong choice here makes the 30s target unachievable.</t>
        </is>
      </c>
    </row>
    <row r="11" ht="168.75" customHeight="1" s="47">
      <c r="A11" s="84" t="inlineStr">
        <is>
          <t>SIM-127</t>
        </is>
      </c>
      <c r="B11" s="84" t="inlineStr">
        <is>
          <t>Define simulation staleness system: last-updated timestamp, amber indicator, loading states, empty states</t>
        </is>
      </c>
      <c r="C11" s="84" t="inlineStr">
        <is>
          <t>Frontend</t>
        </is>
      </c>
      <c r="D11" s="84" t="inlineStr">
        <is>
          <t>Gap</t>
        </is>
      </c>
      <c r="E11" s="85" t="inlineStr">
        <is>
          <t>P1</t>
        </is>
      </c>
      <c r="F11" s="84" t="inlineStr">
        <is>
          <t>M (3–5 days)</t>
        </is>
      </c>
      <c r="G11" s="84" t="inlineStr">
        <is>
          <t>UX Designer + Backend Developer</t>
        </is>
      </c>
      <c r="H11" s="87" t="inlineStr">
        <is>
          <t>Open</t>
        </is>
      </c>
      <c r="I11" s="84" t="inlineStr">
        <is>
          <t>No</t>
        </is>
      </c>
      <c r="J1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1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11" s="84" t="inlineStr">
        <is>
          <t>SIM-112 (simulated_at and confidence_interval fields), SIM-125/126 (layout wireframes)</t>
        </is>
      </c>
      <c r="M11" s="84" t="inlineStr">
        <is>
          <t>Betting-critical: users making financial decisions must know the age and reliability of displayed data.</t>
        </is>
      </c>
    </row>
    <row r="12" ht="168.75" customHeight="1" s="47">
      <c r="A12" s="84" t="inlineStr">
        <is>
          <t>SIM-129</t>
        </is>
      </c>
      <c r="B12" s="84" t="inlineStr">
        <is>
          <t>Add distribution views to ScoreDistributionChart and ProjectedBoxscore — averages lose prop signal</t>
        </is>
      </c>
      <c r="C12" s="84" t="inlineStr">
        <is>
          <t>Frontend</t>
        </is>
      </c>
      <c r="D12" s="84" t="inlineStr">
        <is>
          <t>Improvement</t>
        </is>
      </c>
      <c r="E12" s="85" t="inlineStr">
        <is>
          <t>P1</t>
        </is>
      </c>
      <c r="F12" s="84" t="inlineStr">
        <is>
          <t>M (3–5 days)</t>
        </is>
      </c>
      <c r="G12" s="84" t="inlineStr">
        <is>
          <t>UX Designer + Betting Analyst</t>
        </is>
      </c>
      <c r="H12" s="87" t="inlineStr">
        <is>
          <t>Open</t>
        </is>
      </c>
      <c r="I12" s="84" t="inlineStr">
        <is>
          <t>No</t>
        </is>
      </c>
      <c r="J12"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12"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12" s="84" t="inlineStr">
        <is>
          <t>SIM-112 (raw per-iteration lists), SIM-124 (Betting Analyst input on distribution display)</t>
        </is>
      </c>
      <c r="M12" s="84" t="inlineStr">
        <is>
          <t>The core CLV display feature — this is how the platform's prop predictions are validated against markets.</t>
        </is>
      </c>
    </row>
    <row r="13" ht="23.25" customHeight="1" s="47">
      <c r="A13" s="84" t="inlineStr">
        <is>
          <t>SIM-082</t>
        </is>
      </c>
      <c r="B13" s="84" t="inlineStr">
        <is>
          <t>Fix ON CONFLICT Crash in _upsert_lineup_state()</t>
        </is>
      </c>
      <c r="C13" s="84" t="inlineStr">
        <is>
          <t>Live Pipeline</t>
        </is>
      </c>
      <c r="D13" s="84" t="inlineStr">
        <is>
          <t>Bug</t>
        </is>
      </c>
      <c r="E13" s="85" t="inlineStr">
        <is>
          <t>P1</t>
        </is>
      </c>
      <c r="F13" s="84" t="inlineStr">
        <is>
          <t>S</t>
        </is>
      </c>
      <c r="G13" s="84" t="inlineStr">
        <is>
          <t>Data Engineer</t>
        </is>
      </c>
      <c r="H13" s="89" t="inlineStr">
        <is>
          <t>Closed</t>
        </is>
      </c>
      <c r="I13" s="84" t="inlineStr">
        <is>
          <t>No</t>
        </is>
      </c>
      <c r="J13" s="84" t="inlineStr">
        <is>
          <t>Missing unique partial index made every live lineup upsert raise.</t>
        </is>
      </c>
      <c r="K13" s="84" t="inlineStr">
        <is>
          <t>Alembic migration 0002 adds idx_lineup_state_live_game.</t>
        </is>
      </c>
      <c r="L13" s="84" t="inlineStr">
        <is>
          <t>SIM-084</t>
        </is>
      </c>
      <c r="M13" s="84" t="inlineStr">
        <is>
          <t>Shipped sprint 2026-05-05.</t>
        </is>
      </c>
    </row>
    <row r="14" ht="23.25" customHeight="1" s="47">
      <c r="A14" s="84" t="inlineStr">
        <is>
          <t>SIM-086</t>
        </is>
      </c>
      <c r="B14" s="84" t="inlineStr">
        <is>
          <t>Fix live pipeline venue_id=0 FK violation</t>
        </is>
      </c>
      <c r="C14" s="84" t="inlineStr">
        <is>
          <t>Live Pipeline</t>
        </is>
      </c>
      <c r="D14" s="84" t="inlineStr">
        <is>
          <t>Bug</t>
        </is>
      </c>
      <c r="E14" s="85" t="inlineStr">
        <is>
          <t>P1</t>
        </is>
      </c>
      <c r="F14" s="84" t="inlineStr">
        <is>
          <t>S</t>
        </is>
      </c>
      <c r="G14" s="84" t="inlineStr">
        <is>
          <t>Data Engineer</t>
        </is>
      </c>
      <c r="H14" s="89" t="inlineStr">
        <is>
          <t>Closed</t>
        </is>
      </c>
      <c r="I14" s="84" t="inlineStr">
        <is>
          <t>No</t>
        </is>
      </c>
      <c r="J14" s="84" t="inlineStr">
        <is>
          <t>_upsert_game_record inserted 0 sentinel; FK violation silently dropped game.</t>
        </is>
      </c>
      <c r="K14" s="84" t="inlineStr">
        <is>
          <t>Migration 0006 makes venue_id nullable; venue_backfill_job.py.</t>
        </is>
      </c>
      <c r="L14" s="84" t="inlineStr">
        <is>
          <t>SIM-084</t>
        </is>
      </c>
      <c r="M14" s="84" t="inlineStr">
        <is>
          <t>Shipped sprint 2026-05-06. PM-accepted 2026-05-07.</t>
        </is>
      </c>
    </row>
    <row r="15" ht="23.25" customHeight="1" s="47">
      <c r="A15" s="84" t="inlineStr">
        <is>
          <t>SIM-099</t>
        </is>
      </c>
      <c r="B15" s="84" t="inlineStr">
        <is>
          <t>Fix Redis Key Mismatch (rate-limit fallback)</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_cache_to_redis wrote game_state:{pk} but _fetch_feed read game_feed:{pk}.</t>
        </is>
      </c>
      <c r="K15" s="84" t="inlineStr">
        <is>
          <t>Both keys now written; second pitcher_id assignment removed.</t>
        </is>
      </c>
      <c r="L15" s="84" t="inlineStr">
        <is>
          <t>None</t>
        </is>
      </c>
      <c r="M15" s="84" t="inlineStr">
        <is>
          <t>Shipped sprint 2026-05-05.</t>
        </is>
      </c>
    </row>
    <row r="16" ht="23.25" customHeight="1" s="47">
      <c r="A16" s="84" t="inlineStr">
        <is>
          <t>SIM-100</t>
        </is>
      </c>
      <c r="B16" s="84" t="inlineStr">
        <is>
          <t>Fix GameStateBuilder roster parsing (4 bugs)</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N+1 days_rest queries; wrong availability; dead code; wrong date anchor.</t>
        </is>
      </c>
      <c r="K16" s="84" t="inlineStr">
        <is>
          <t>_batch_days_rest single query; corrected availability; game_date param.</t>
        </is>
      </c>
      <c r="L16" s="84" t="inlineStr">
        <is>
          <t>None</t>
        </is>
      </c>
      <c r="M16" s="84" t="inlineStr">
        <is>
          <t>Shipped sprint 2026-05-05.</t>
        </is>
      </c>
    </row>
    <row r="17" ht="23.25" customHeight="1" s="47">
      <c r="A17" s="84" t="inlineStr">
        <is>
          <t>SIM-101</t>
        </is>
      </c>
      <c r="B17" s="84" t="inlineStr">
        <is>
          <t>Per-game GameStateBuilder cache + incremental play history</t>
        </is>
      </c>
      <c r="C17" s="84" t="inlineStr">
        <is>
          <t>Live Pipeline</t>
        </is>
      </c>
      <c r="D17" s="84" t="inlineStr">
        <is>
          <t>Bug</t>
        </is>
      </c>
      <c r="E17" s="85" t="inlineStr">
        <is>
          <t>P1</t>
        </is>
      </c>
      <c r="F17" s="84" t="inlineStr">
        <is>
          <t>M</t>
        </is>
      </c>
      <c r="G17" s="84" t="inlineStr">
        <is>
          <t>Backend Developer</t>
        </is>
      </c>
      <c r="H17" s="89" t="inlineStr">
        <is>
          <t>Closed</t>
        </is>
      </c>
      <c r="I17" s="84" t="inlineStr">
        <is>
          <t>No</t>
        </is>
      </c>
      <c r="J17" s="84" t="inlineStr">
        <is>
          <t>_parse_play_history rebuilt full history every WS message (O(N)).</t>
        </is>
      </c>
      <c r="K17" s="84" t="inlineStr">
        <is>
          <t>Per-game builder cache; incremental parse from last_at_bat_index.</t>
        </is>
      </c>
      <c r="L17" s="84" t="inlineStr">
        <is>
          <t>SIM-099, SIM-100</t>
        </is>
      </c>
      <c r="M17" s="84" t="inlineStr">
        <is>
          <t>Shipped sprint 2026-05-07. PM-accepted 2026-05-07.</t>
        </is>
      </c>
    </row>
    <row r="18" ht="23.25" customHeight="1" s="47">
      <c r="A18" s="84" t="inlineStr">
        <is>
          <t>SIM-102</t>
        </is>
      </c>
      <c r="B18" s="84" t="inlineStr">
        <is>
          <t>Fix _infer_role() opener misclassification</t>
        </is>
      </c>
      <c r="C18" s="84" t="inlineStr">
        <is>
          <t>Live Pipeline</t>
        </is>
      </c>
      <c r="D18" s="84" t="inlineStr">
        <is>
          <t>Bug</t>
        </is>
      </c>
      <c r="E18" s="85" t="inlineStr">
        <is>
          <t>P1</t>
        </is>
      </c>
      <c r="F18" s="84" t="inlineStr">
        <is>
          <t>S</t>
        </is>
      </c>
      <c r="G18" s="84" t="inlineStr">
        <is>
          <t>Backend Developer</t>
        </is>
      </c>
      <c r="H18" s="89" t="inlineStr">
        <is>
          <t>Closed</t>
        </is>
      </c>
      <c r="I18" s="84" t="inlineStr">
        <is>
          <t>No</t>
        </is>
      </c>
      <c r="J18" s="84" t="inlineStr">
        <is>
          <t>IP-only thresholds classified openers as MRP.</t>
        </is>
      </c>
      <c r="K18" s="84" t="inlineStr">
        <is>
          <t>Added Opener bucket using battersFaced; SP -&gt; Opener -&gt; MRP -&gt; RP.</t>
        </is>
      </c>
      <c r="L18" s="84" t="inlineStr">
        <is>
          <t>None</t>
        </is>
      </c>
      <c r="M18" s="84" t="inlineStr">
        <is>
          <t>Shipped sprint 2026-05-07. PM-accepted 2026-05-07. Temporary until SIM-057.</t>
        </is>
      </c>
    </row>
    <row r="19" ht="23.25" customHeight="1" s="47">
      <c r="A19" s="84" t="inlineStr">
        <is>
          <t>SIM-103</t>
        </is>
      </c>
      <c r="B19" s="84" t="inlineStr">
        <is>
          <t>ConnectionManager.broadcast() set snapshot</t>
        </is>
      </c>
      <c r="C19" s="84" t="inlineStr">
        <is>
          <t>Live Pipeline</t>
        </is>
      </c>
      <c r="D19" s="84" t="inlineStr">
        <is>
          <t>Bug</t>
        </is>
      </c>
      <c r="E19" s="85" t="inlineStr">
        <is>
          <t>P1</t>
        </is>
      </c>
      <c r="F19" s="84" t="inlineStr">
        <is>
          <t>S</t>
        </is>
      </c>
      <c r="G19" s="84" t="inlineStr">
        <is>
          <t>Backend Developer</t>
        </is>
      </c>
      <c r="H19" s="89" t="inlineStr">
        <is>
          <t>Closed</t>
        </is>
      </c>
      <c r="I19" s="84" t="inlineStr">
        <is>
          <t>No</t>
        </is>
      </c>
      <c r="J19" s="84" t="inlineStr">
        <is>
          <t>Iteration over live set raised RuntimeError on concurrent connect/disconnect.</t>
        </is>
      </c>
      <c r="K19" s="84" t="inlineStr">
        <is>
          <t>Snapshot via set(live_subs) before iterating.</t>
        </is>
      </c>
      <c r="L19" s="84" t="inlineStr">
        <is>
          <t>None</t>
        </is>
      </c>
      <c r="M19" s="84" t="inlineStr">
        <is>
          <t>Shipped sprint 2026-05-07. PM-accepted 2026-05-07.</t>
        </is>
      </c>
    </row>
    <row r="20" ht="23.25" customHeight="1" s="47">
      <c r="A20" s="84" t="inlineStr">
        <is>
          <t>SIM-104</t>
        </is>
      </c>
      <c r="B20" s="84" t="inlineStr">
        <is>
          <t>Add Redis-based rate limiting to /resimulate</t>
        </is>
      </c>
      <c r="C20" s="84" t="inlineStr">
        <is>
          <t>Live Pipeline</t>
        </is>
      </c>
      <c r="D20" s="84" t="inlineStr">
        <is>
          <t>Improvement</t>
        </is>
      </c>
      <c r="E20" s="85" t="inlineStr">
        <is>
          <t>P1</t>
        </is>
      </c>
      <c r="F20" s="84" t="inlineStr">
        <is>
          <t>S</t>
        </is>
      </c>
      <c r="G20" s="84" t="inlineStr">
        <is>
          <t>Backend Developer</t>
        </is>
      </c>
      <c r="H20" s="89" t="inlineStr">
        <is>
          <t>Closed</t>
        </is>
      </c>
      <c r="I20" s="84" t="inlineStr">
        <is>
          <t>No</t>
        </is>
      </c>
      <c r="J20" s="84" t="inlineStr">
        <is>
          <t>No debouncing on manual resimulate endpoint.</t>
        </is>
      </c>
      <c r="K20" s="84" t="inlineStr">
        <is>
          <t>Per-game Redis cooldown; 429 with retry_after_seconds; SIM-109 envelope.</t>
        </is>
      </c>
      <c r="L20" s="84" t="inlineStr">
        <is>
          <t>Redis lifecycle</t>
        </is>
      </c>
      <c r="M20" s="84" t="inlineStr">
        <is>
          <t>Shipped sprint 2026-05-07. PM-accepted 2026-05-07.</t>
        </is>
      </c>
    </row>
    <row r="21" ht="23.25" customHeight="1" s="47">
      <c r="A21" s="84" t="inlineStr">
        <is>
          <t>SIM-105</t>
        </is>
      </c>
      <c r="B21" s="84" t="inlineStr">
        <is>
          <t>Skip redundant upserts for completed games</t>
        </is>
      </c>
      <c r="C21" s="84" t="inlineStr">
        <is>
          <t>Live Pipeline</t>
        </is>
      </c>
      <c r="D21" s="84" t="inlineStr">
        <is>
          <t>Improvement</t>
        </is>
      </c>
      <c r="E21" s="88" t="inlineStr">
        <is>
          <t>P2</t>
        </is>
      </c>
      <c r="F21" s="84" t="inlineStr">
        <is>
          <t>S</t>
        </is>
      </c>
      <c r="G21" s="84" t="inlineStr">
        <is>
          <t>Backend Developer</t>
        </is>
      </c>
      <c r="H21" s="89" t="inlineStr">
        <is>
          <t>Closed</t>
        </is>
      </c>
      <c r="I21" s="84" t="inlineStr">
        <is>
          <t>No</t>
        </is>
      </c>
      <c r="J21" s="84" t="inlineStr">
        <is>
          <t>_sync_live_games called _upsert for finished games on every poll.</t>
        </is>
      </c>
      <c r="K21" s="84" t="inlineStr">
        <is>
          <t>_completed_games skip set + boot-time hydration from raw.games.</t>
        </is>
      </c>
      <c r="L21" s="84" t="inlineStr">
        <is>
          <t>None</t>
        </is>
      </c>
      <c r="M21" s="84" t="inlineStr">
        <is>
          <t>Shipped sprint 2026-05-07. PM-accepted 2026-05-07.</t>
        </is>
      </c>
    </row>
    <row r="22" ht="23.25" customHeight="1" s="47">
      <c r="A22" s="84" t="inlineStr">
        <is>
          <t>SIM-106</t>
        </is>
      </c>
      <c r="B22" s="84" t="inlineStr">
        <is>
          <t>Enforce async callable type on simulation_callback</t>
        </is>
      </c>
      <c r="C22" s="84" t="inlineStr">
        <is>
          <t>Live Pipeline</t>
        </is>
      </c>
      <c r="D22" s="84" t="inlineStr">
        <is>
          <t>Improvement</t>
        </is>
      </c>
      <c r="E22" s="85" t="inlineStr">
        <is>
          <t>P1</t>
        </is>
      </c>
      <c r="F22" s="84" t="inlineStr">
        <is>
          <t>S</t>
        </is>
      </c>
      <c r="G22" s="84" t="inlineStr">
        <is>
          <t>Backend Developer</t>
        </is>
      </c>
      <c r="H22" s="89" t="inlineStr">
        <is>
          <t>Closed</t>
        </is>
      </c>
      <c r="I22" s="84" t="inlineStr">
        <is>
          <t>No</t>
        </is>
      </c>
      <c r="J22" s="84" t="inlineStr">
        <is>
          <t>Callable | None could be a sync fn; failure was hard to diagnose.</t>
        </is>
      </c>
      <c r="K22" s="84" t="inlineStr">
        <is>
          <t>SimulationCallback type alias + iscoroutinefunction guard at __init__.</t>
        </is>
      </c>
      <c r="L22" s="84" t="inlineStr">
        <is>
          <t>None</t>
        </is>
      </c>
      <c r="M22" s="84" t="inlineStr">
        <is>
          <t>Shipped sprint 2026-05-07. PM-accepted 2026-05-07.</t>
        </is>
      </c>
    </row>
    <row r="23" ht="23.25" customHeight="1" s="47">
      <c r="A23" s="84" t="inlineStr">
        <is>
          <t>SIM-132</t>
        </is>
      </c>
      <c r="B23" s="84" t="inlineStr">
        <is>
          <t>Fix MockOddsAPI Zero-Vig + resim doc</t>
        </is>
      </c>
      <c r="C23" s="84" t="inlineStr">
        <is>
          <t>Live Pipeline</t>
        </is>
      </c>
      <c r="D23" s="84" t="inlineStr">
        <is>
          <t>Bug</t>
        </is>
      </c>
      <c r="E23" s="85" t="inlineStr">
        <is>
          <t>P1</t>
        </is>
      </c>
      <c r="F23" s="84" t="inlineStr">
        <is>
          <t>S</t>
        </is>
      </c>
      <c r="G23" s="84" t="inlineStr">
        <is>
          <t>Backend Developer</t>
        </is>
      </c>
      <c r="H23" s="89" t="inlineStr">
        <is>
          <t>Closed</t>
        </is>
      </c>
      <c r="I23" s="84" t="inlineStr">
        <is>
          <t>No</t>
        </is>
      </c>
      <c r="J23" s="84" t="inlineStr">
        <is>
          <t>Implied probs summed to exactly 1.0 (no vig); architecture comment lied.</t>
        </is>
      </c>
      <c r="K23" s="84" t="inlineStr">
        <is>
          <t>vig in [0.06, 0.10]; comment fixed.</t>
        </is>
      </c>
      <c r="L23" s="84" t="inlineStr">
        <is>
          <t>None</t>
        </is>
      </c>
      <c r="M23" s="84" t="inlineStr">
        <is>
          <t>Shipped sprint 2026-05-05. SIM-096 follow-up tightens RNG floor.</t>
        </is>
      </c>
    </row>
    <row r="24" ht="15" customHeight="1" s="47">
      <c r="A24" s="84" t="inlineStr">
        <is>
          <t>SIM-138</t>
        </is>
      </c>
      <c r="B24" s="84" t="inlineStr">
        <is>
          <t>Nightly Opening Line Ingestion Job</t>
        </is>
      </c>
      <c r="C24" s="84" t="inlineStr">
        <is>
          <t>Live Pipeline</t>
        </is>
      </c>
      <c r="D24" s="84" t="inlineStr">
        <is>
          <t>Gap</t>
        </is>
      </c>
      <c r="E24" s="85" t="inlineStr">
        <is>
          <t>P1</t>
        </is>
      </c>
      <c r="F24" s="84" t="inlineStr">
        <is>
          <t>S</t>
        </is>
      </c>
      <c r="G24" s="84" t="inlineStr">
        <is>
          <t>Data Engineer</t>
        </is>
      </c>
      <c r="H24" s="89" t="inlineStr">
        <is>
          <t>Closed</t>
        </is>
      </c>
      <c r="I24" s="84" t="inlineStr">
        <is>
          <t>No</t>
        </is>
      </c>
      <c r="J24" s="84" t="inlineStr">
        <is>
          <t>Opening lines lost permanently each missing day.</t>
        </is>
      </c>
      <c r="K24" s="84" t="inlineStr">
        <is>
          <t>OpeningLineJob (cron + APScheduler); 7-day lookahead.</t>
        </is>
      </c>
      <c r="L24" s="84" t="inlineStr">
        <is>
          <t>SIM-133, SIM-134</t>
        </is>
      </c>
      <c r="M24" s="84" t="inlineStr">
        <is>
          <t>Shipped sprint 2026-05-05.</t>
        </is>
      </c>
    </row>
    <row r="25" ht="79.5" customHeight="1" s="47">
      <c r="A25" s="84" t="inlineStr">
        <is>
          <t>SIM-159</t>
        </is>
      </c>
      <c r="B25" s="84" t="inlineStr">
        <is>
          <t>Tighten SIM-132 vig RNG so moneyline boundary test is no longer flaky</t>
        </is>
      </c>
      <c r="C25" s="84" t="inlineStr">
        <is>
          <t>Live Pipeline</t>
        </is>
      </c>
      <c r="D25" s="84" t="inlineStr">
        <is>
          <t>Bug</t>
        </is>
      </c>
      <c r="E25" s="85" t="inlineStr">
        <is>
          <t>P1</t>
        </is>
      </c>
      <c r="F25" s="84" t="inlineStr">
        <is>
          <t>S (&lt;1 day)</t>
        </is>
      </c>
      <c r="G25" s="84" t="inlineStr">
        <is>
          <t>Backend Developer</t>
        </is>
      </c>
      <c r="H25" s="87" t="inlineStr">
        <is>
          <t>Open</t>
        </is>
      </c>
      <c r="I25" s="84" t="inlineStr">
        <is>
          <t>No</t>
        </is>
      </c>
      <c r="J25" s="84" t="inlineStr">
        <is>
          <t>MockOddsAPI samples vig from rng.uniform(0.06, 0.10). Overround = 1 + vig/2 ∈ [1.030, 1.050]. Regression test asserts strict &gt; 1.03; for game_pk=12345 the inflation path produces 1.0286.</t>
        </is>
      </c>
      <c r="K25"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25" s="84" t="inlineStr">
        <is>
          <t>SIM-132 (already shipped)</t>
        </is>
      </c>
      <c r="M25" s="84" t="inlineStr">
        <is>
          <t>Created 2026-05-08 from PM acceptance review. Renumbered from SIM-096 to avoid collision with the existing async-models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M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24.5" customHeight="1" s="47">
      <c r="A2" s="84" t="inlineStr">
        <is>
          <t>SIM-115</t>
        </is>
      </c>
      <c r="B2" s="84" t="inlineStr">
        <is>
          <t>Prune DuckDB sim pool indexes — keep 3 query-path indexes, drop 8 write-overhead indexes</t>
        </is>
      </c>
      <c r="C2" s="84" t="inlineStr">
        <is>
          <t>Schema / ETL</t>
        </is>
      </c>
      <c r="D2" s="84" t="inlineStr">
        <is>
          <t>Improvement</t>
        </is>
      </c>
      <c r="E2" s="85" t="inlineStr">
        <is>
          <t>P1</t>
        </is>
      </c>
      <c r="F2" s="84" t="inlineStr">
        <is>
          <t>S (&lt; 1 day)</t>
        </is>
      </c>
      <c r="G2" s="84" t="inlineStr">
        <is>
          <t>Data Engineer + Performance Engineer</t>
        </is>
      </c>
      <c r="H2" s="87" t="inlineStr">
        <is>
          <t>Open</t>
        </is>
      </c>
      <c r="I2" s="84" t="inlineStr">
        <is>
          <t>No</t>
        </is>
      </c>
      <c r="J2"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2"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2" s="84" t="inlineStr">
        <is>
          <t>SIM-111 (play pool query contracts must be confirmed first)</t>
        </is>
      </c>
      <c r="M2" s="84" t="inlineStr">
        <is>
          <t>Do not drop indexes until SIM-111 access patterns are confirmed — dropping the wrong index causes a regression.</t>
        </is>
      </c>
    </row>
    <row r="3" ht="157.5" customHeight="1" s="47">
      <c r="A3" s="84" t="inlineStr">
        <is>
          <t>SIM-114</t>
        </is>
      </c>
      <c r="B3" s="84" t="inlineStr">
        <is>
          <t>FAISS index design spec: IVFFlat, nprobe, pre-filter requirement, and shared memory strategy</t>
        </is>
      </c>
      <c r="C3" s="84" t="inlineStr">
        <is>
          <t>Performance</t>
        </is>
      </c>
      <c r="D3" s="84" t="inlineStr">
        <is>
          <t>Gap</t>
        </is>
      </c>
      <c r="E3" s="85" t="inlineStr">
        <is>
          <t>P1</t>
        </is>
      </c>
      <c r="F3" s="84" t="inlineStr">
        <is>
          <t>M (3–5 days)</t>
        </is>
      </c>
      <c r="G3" s="84" t="inlineStr">
        <is>
          <t>Performance Engineer + ML Engineer</t>
        </is>
      </c>
      <c r="H3" s="87" t="inlineStr">
        <is>
          <t>Open</t>
        </is>
      </c>
      <c r="I3" s="84" t="inlineStr">
        <is>
          <t>No</t>
        </is>
      </c>
      <c r="J3" s="84" t="inlineStr">
        <is>
          <t>The current spec says 'FAISS flat index' which at 1M rows would produce ~300 seconds per 100-game batch — 10× over SLA. This ticket produces a written design spec (not implementation) that must be locked before Phase 3 builds the indexes.</t>
        </is>
      </c>
      <c r="K3"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3" s="84" t="inlineStr">
        <is>
          <t>None</t>
        </is>
      </c>
      <c r="M3" s="84" t="inlineStr">
        <is>
          <t>FATAL SLA risk if deferred — wrong choice here makes the 30s target unachievable.</t>
        </is>
      </c>
    </row>
    <row r="4" ht="135.75" customHeight="1" s="47">
      <c r="A4" s="84" t="inlineStr">
        <is>
          <t>SIM-200</t>
        </is>
      </c>
      <c r="B4" s="84" t="inlineStr">
        <is>
          <t>Step 3b: Catcher Framing Bias on Shadow-Zone Takes</t>
        </is>
      </c>
      <c r="C4" s="84" t="inlineStr">
        <is>
          <t>Phase 4 placeholder</t>
        </is>
      </c>
      <c r="D4" s="84" t="inlineStr">
        <is>
          <t>Phase 4 design constraint</t>
        </is>
      </c>
      <c r="E4" s="85" t="inlineStr">
        <is>
          <t>P1</t>
        </is>
      </c>
      <c r="F4" s="84" t="inlineStr">
        <is>
          <t>S (when Phase 4 lands)</t>
        </is>
      </c>
      <c r="G4" s="84" t="inlineStr">
        <is>
          <t>Backend Developer + ML Engineer + Baseball Analyst</t>
        </is>
      </c>
      <c r="H4" s="90" t="inlineStr">
        <is>
          <t>Held</t>
        </is>
      </c>
      <c r="I4" s="84" t="inlineStr">
        <is>
          <t>Yes</t>
        </is>
      </c>
      <c r="J4" s="84" t="inlineStr">
        <is>
          <t>When Step 3b is built, the called-strike vs called-ball decision must incorporate catcher framing skill scoped to the shadow zone.</t>
        </is>
      </c>
      <c r="K4"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4" s="84" t="inlineStr">
        <is>
          <t>Phase 4 simulation loop scaffolding</t>
        </is>
      </c>
      <c r="M4" s="84" t="inlineStr">
        <is>
          <t>Forward-looking placeholder; do NOT ship standalone.</t>
        </is>
      </c>
    </row>
    <row r="5" ht="147" customHeight="1" s="47">
      <c r="A5" s="84" t="inlineStr">
        <is>
          <t>SIM-201</t>
        </is>
      </c>
      <c r="B5" s="84" t="inlineStr">
        <is>
          <t>Step 3b: Catcher Blocking Coefficient on Dirt-Pitch Outcomes</t>
        </is>
      </c>
      <c r="C5" s="84" t="inlineStr">
        <is>
          <t>Phase 4 placeholder</t>
        </is>
      </c>
      <c r="D5" s="84" t="inlineStr">
        <is>
          <t>Phase 4 design constraint</t>
        </is>
      </c>
      <c r="E5" s="85" t="inlineStr">
        <is>
          <t>P1</t>
        </is>
      </c>
      <c r="F5" s="84" t="inlineStr">
        <is>
          <t>S (when Phase 4 lands)</t>
        </is>
      </c>
      <c r="G5" s="84" t="inlineStr">
        <is>
          <t>Backend Developer + ML Engineer + Baseball Analyst</t>
        </is>
      </c>
      <c r="H5" s="90" t="inlineStr">
        <is>
          <t>Held</t>
        </is>
      </c>
      <c r="I5" s="84" t="inlineStr">
        <is>
          <t>Yes</t>
        </is>
      </c>
      <c r="J5" s="84" t="inlineStr">
        <is>
          <t>When Step 3b resolves to ball-in-dirt with runner(s) on, catcher blocking skill must influence WP/PB probability and runner advancement.</t>
        </is>
      </c>
      <c r="K5"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5" s="84" t="inlineStr">
        <is>
          <t>Phase 4 simulation loop scaffolding</t>
        </is>
      </c>
      <c r="M5" s="84" t="inlineStr">
        <is>
          <t>Forward-looking placeholder; do NOT ship standalone.</t>
        </is>
      </c>
    </row>
  </sheetData>
  <autoFilter ref="A1:M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M1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Open</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35.75" customHeight="1" s="47">
      <c r="A3" s="84" t="inlineStr">
        <is>
          <t>SIM-143</t>
        </is>
      </c>
      <c r="B3" s="84" t="inlineStr">
        <is>
          <t>CLV dashboard API endpoint: GET /api/betting/clv/summary with segment breakdown</t>
        </is>
      </c>
      <c r="C3" s="84" t="inlineStr">
        <is>
          <t>Betting Infrastructure</t>
        </is>
      </c>
      <c r="D3" s="84" t="inlineStr">
        <is>
          <t>Feature</t>
        </is>
      </c>
      <c r="E3" s="85" t="inlineStr">
        <is>
          <t>P1</t>
        </is>
      </c>
      <c r="F3" s="84" t="inlineStr">
        <is>
          <t>M (3–5 days)</t>
        </is>
      </c>
      <c r="G3" s="84" t="inlineStr">
        <is>
          <t>Backend Developer + Betting Analyst</t>
        </is>
      </c>
      <c r="H3" s="87" t="inlineStr">
        <is>
          <t>Open</t>
        </is>
      </c>
      <c r="I3" s="84" t="inlineStr">
        <is>
          <t>No</t>
        </is>
      </c>
      <c r="J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3" s="84" t="inlineStr">
        <is>
          <t>SIM-135 (bet_log table), SIM-136 (CLV computation), SIM-109 (API structure)</t>
        </is>
      </c>
      <c r="M3" s="84" t="inlineStr">
        <is>
          <t>This endpoint makes CLV measurable operationally, not just in backtesting.</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Open</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91.25" customHeight="1" s="47">
      <c r="A6" s="84" t="inlineStr">
        <is>
          <t>SIM-141</t>
        </is>
      </c>
      <c r="B6" s="84" t="inlineStr">
        <is>
          <t>Create betting/vig_removal.py — define multiplicative vig removal as the platform standard</t>
        </is>
      </c>
      <c r="C6" s="84" t="inlineStr">
        <is>
          <t>Betting Infrastructure</t>
        </is>
      </c>
      <c r="D6" s="84" t="inlineStr">
        <is>
          <t>Gap</t>
        </is>
      </c>
      <c r="E6" s="85" t="inlineStr">
        <is>
          <t>P1</t>
        </is>
      </c>
      <c r="F6" s="84" t="inlineStr">
        <is>
          <t>S (&lt; 1 day)</t>
        </is>
      </c>
      <c r="G6" s="84" t="inlineStr">
        <is>
          <t>Betting Analyst + Backend Developer</t>
        </is>
      </c>
      <c r="H6" s="87" t="inlineStr">
        <is>
          <t>Open</t>
        </is>
      </c>
      <c r="I6" s="84" t="inlineStr">
        <is>
          <t>No</t>
        </is>
      </c>
      <c r="J6"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6"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6" s="84" t="inlineStr">
        <is>
          <t>None</t>
        </is>
      </c>
      <c r="M6" s="84" t="inlineStr">
        <is>
          <t>Foundational utility — must exist before CLV framework (SIM-136) or edge fields (SIM-112) are implemented.</t>
        </is>
      </c>
    </row>
    <row r="7" ht="157.5" customHeight="1" s="47">
      <c r="A7" s="84" t="inlineStr">
        <is>
          <t>SIM-139</t>
        </is>
      </c>
      <c r="B7" s="84" t="inlineStr">
        <is>
          <t>Define real odds integration spec: provider, cadence, multi-book hierarchy, prop timing</t>
        </is>
      </c>
      <c r="C7" s="84" t="inlineStr">
        <is>
          <t>Betting Infrastructure</t>
        </is>
      </c>
      <c r="D7" s="84" t="inlineStr">
        <is>
          <t>Gap</t>
        </is>
      </c>
      <c r="E7" s="85" t="inlineStr">
        <is>
          <t>P1</t>
        </is>
      </c>
      <c r="F7" s="84" t="inlineStr">
        <is>
          <t>M (3–5 days)</t>
        </is>
      </c>
      <c r="G7" s="84" t="inlineStr">
        <is>
          <t>Betting Analyst + Data Engineer</t>
        </is>
      </c>
      <c r="H7" s="87" t="inlineStr">
        <is>
          <t>Open</t>
        </is>
      </c>
      <c r="I7" s="84" t="inlineStr">
        <is>
          <t>No</t>
        </is>
      </c>
      <c r="J7" s="84" t="inlineStr">
        <is>
          <t>Phase 7 says 'swap in a real odds provider' with no spec for which provider, cadence, or multi-book methodology. Without this spec in Phase 5, the schema and ingestion architecture won't support CLV measurement when Phase 7 arrives.</t>
        </is>
      </c>
      <c r="K7"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7" s="84" t="inlineStr">
        <is>
          <t>SIM-133 (book and line_type columns), SIM-134 (raw.prop_odds table)</t>
        </is>
      </c>
      <c r="M7" s="84" t="inlineStr">
        <is>
          <t>The 'replace one function' comment in live_ingestion_pipeline.py will produce a broken CLV system without this spec.</t>
        </is>
      </c>
    </row>
    <row r="8" ht="124.5" customHeight="1" s="47">
      <c r="A8" s="84" t="inlineStr">
        <is>
          <t>SIM-115</t>
        </is>
      </c>
      <c r="B8" s="84" t="inlineStr">
        <is>
          <t>Prune DuckDB sim pool indexes — keep 3 query-path indexes, drop 8 write-overhead indexes</t>
        </is>
      </c>
      <c r="C8" s="84" t="inlineStr">
        <is>
          <t>Schema / ETL</t>
        </is>
      </c>
      <c r="D8" s="84" t="inlineStr">
        <is>
          <t>Improvement</t>
        </is>
      </c>
      <c r="E8" s="85" t="inlineStr">
        <is>
          <t>P1</t>
        </is>
      </c>
      <c r="F8" s="84" t="inlineStr">
        <is>
          <t>S (&lt; 1 day)</t>
        </is>
      </c>
      <c r="G8" s="84" t="inlineStr">
        <is>
          <t>Data Engineer + Performance Engineer</t>
        </is>
      </c>
      <c r="H8" s="87" t="inlineStr">
        <is>
          <t>Open</t>
        </is>
      </c>
      <c r="I8" s="84" t="inlineStr">
        <is>
          <t>No</t>
        </is>
      </c>
      <c r="J8"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8"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8" s="84" t="inlineStr">
        <is>
          <t>SIM-111 (play pool query contracts must be confirmed first)</t>
        </is>
      </c>
      <c r="M8" s="84" t="inlineStr">
        <is>
          <t>Do not drop indexes until SIM-111 access patterns are confirmed — dropping the wrong index causes a regression.</t>
        </is>
      </c>
    </row>
    <row r="9" ht="135.75" customHeight="1" s="47">
      <c r="A9" s="84" t="inlineStr">
        <is>
          <t>SIM-119</t>
        </is>
      </c>
      <c r="B9" s="84" t="inlineStr">
        <is>
          <t>Define per-step time budget for the 8-step simulation loop</t>
        </is>
      </c>
      <c r="C9" s="84" t="inlineStr">
        <is>
          <t>Performance</t>
        </is>
      </c>
      <c r="D9" s="84" t="inlineStr">
        <is>
          <t>Gap</t>
        </is>
      </c>
      <c r="E9" s="85" t="inlineStr">
        <is>
          <t>P1</t>
        </is>
      </c>
      <c r="F9" s="84" t="inlineStr">
        <is>
          <t>S (&lt; 1 day)</t>
        </is>
      </c>
      <c r="G9" s="84" t="inlineStr">
        <is>
          <t>Performance Engineer + Backend Developer</t>
        </is>
      </c>
      <c r="H9" s="87" t="inlineStr">
        <is>
          <t>Open</t>
        </is>
      </c>
      <c r="I9" s="84" t="inlineStr">
        <is>
          <t>No</t>
        </is>
      </c>
      <c r="J9" s="84" t="inlineStr">
        <is>
          <t>The 2s single-game SLA has no per-step budget. Without step budgets, Phase 4 has no way to know if each step is on track during implementation. Each step must have a pytest-benchmark assertion as part of its acceptance criteria.</t>
        </is>
      </c>
      <c r="K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9" s="84" t="inlineStr">
        <is>
          <t>SIM-118 (benchmark harness infrastructure)</t>
        </is>
      </c>
      <c r="M9" s="84" t="inlineStr">
        <is>
          <t>Step budgets convert the 30s SLA from a post-hoc check into a per-step implementation requirement.</t>
        </is>
      </c>
    </row>
    <row r="10" ht="147" customHeight="1" s="47">
      <c r="A10" s="84" t="inlineStr">
        <is>
          <t>SIM-120</t>
        </is>
      </c>
      <c r="B10" s="84" t="inlineStr">
        <is>
          <t>Benchmark ProcessPoolExecutor vs ThreadPoolExecutor for simulation runner before Phase 5 commits</t>
        </is>
      </c>
      <c r="C10" s="84" t="inlineStr">
        <is>
          <t>Performance</t>
        </is>
      </c>
      <c r="D10" s="84" t="inlineStr">
        <is>
          <t>Gap</t>
        </is>
      </c>
      <c r="E10" s="85" t="inlineStr">
        <is>
          <t>P1</t>
        </is>
      </c>
      <c r="F10" s="84" t="inlineStr">
        <is>
          <t>S (1–2 days)</t>
        </is>
      </c>
      <c r="G10" s="84" t="inlineStr">
        <is>
          <t>Performance Engineer + Backend Developer</t>
        </is>
      </c>
      <c r="H10" s="87" t="inlineStr">
        <is>
          <t>Open</t>
        </is>
      </c>
      <c r="I10" s="84" t="inlineStr">
        <is>
          <t>No</t>
        </is>
      </c>
      <c r="J1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1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10" s="84" t="inlineStr">
        <is>
          <t>Phase 4 simulate_game() must be implemented first</t>
        </is>
      </c>
      <c r="M10" s="84" t="inlineStr">
        <is>
          <t>If threads work, eliminates the entire shared memory complexity of the process pool approach.</t>
        </is>
      </c>
    </row>
    <row r="11" ht="135.75" customHeight="1" s="47">
      <c r="A11" s="84" t="inlineStr">
        <is>
          <t>SIM-113</t>
        </is>
      </c>
      <c r="B11" s="84" t="inlineStr">
        <is>
          <t>Fix GMM batch pipeline performance: dynamic n_workers, eliminate per-pitcher IPC, batch DuckDB writes</t>
        </is>
      </c>
      <c r="C11" s="84" t="inlineStr">
        <is>
          <t>Performance</t>
        </is>
      </c>
      <c r="D11" s="84" t="inlineStr">
        <is>
          <t>Improvement</t>
        </is>
      </c>
      <c r="E11" s="85" t="inlineStr">
        <is>
          <t>P1</t>
        </is>
      </c>
      <c r="F11" s="84" t="inlineStr">
        <is>
          <t>M (3–5 days)</t>
        </is>
      </c>
      <c r="G11" s="84" t="inlineStr">
        <is>
          <t>Performance Engineer + Data Engineer</t>
        </is>
      </c>
      <c r="H11" s="87" t="inlineStr">
        <is>
          <t>Open</t>
        </is>
      </c>
      <c r="I11" s="84" t="inlineStr">
        <is>
          <t>No</t>
        </is>
      </c>
      <c r="J11"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11"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11" s="84" t="inlineStr">
        <is>
          <t>None</t>
        </is>
      </c>
      <c r="M11" s="84" t="inlineStr">
        <is>
          <t>Makes the nightly batch job tractable before it's run against real multi-season data.</t>
        </is>
      </c>
    </row>
    <row r="12" ht="157.5" customHeight="1" s="47">
      <c r="A12" s="84" t="inlineStr">
        <is>
          <t>SIM-114</t>
        </is>
      </c>
      <c r="B12" s="84" t="inlineStr">
        <is>
          <t>FAISS index design spec: IVFFlat, nprobe, pre-filter requirement, and shared memory strategy</t>
        </is>
      </c>
      <c r="C12" s="84" t="inlineStr">
        <is>
          <t>Performance</t>
        </is>
      </c>
      <c r="D12" s="84" t="inlineStr">
        <is>
          <t>Gap</t>
        </is>
      </c>
      <c r="E12" s="85" t="inlineStr">
        <is>
          <t>P1</t>
        </is>
      </c>
      <c r="F12" s="84" t="inlineStr">
        <is>
          <t>M (3–5 days)</t>
        </is>
      </c>
      <c r="G12" s="84" t="inlineStr">
        <is>
          <t>Performance Engineer + ML Engineer</t>
        </is>
      </c>
      <c r="H12" s="87" t="inlineStr">
        <is>
          <t>Open</t>
        </is>
      </c>
      <c r="I12" s="84" t="inlineStr">
        <is>
          <t>No</t>
        </is>
      </c>
      <c r="J12" s="84" t="inlineStr">
        <is>
          <t>The current spec says 'FAISS flat index' which at 1M rows would produce ~300 seconds per 100-game batch — 10× over SLA. This ticket produces a written design spec (not implementation) that must be locked before Phase 3 builds the indexes.</t>
        </is>
      </c>
      <c r="K12"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2" s="84" t="inlineStr">
        <is>
          <t>None</t>
        </is>
      </c>
      <c r="M12" s="84" t="inlineStr">
        <is>
          <t>FATAL SLA risk if deferred — wrong choice here makes the 30s target unachievable.</t>
        </is>
      </c>
    </row>
    <row r="13" ht="23.25" customHeight="1" s="47">
      <c r="A13" s="84" t="inlineStr">
        <is>
          <t>SIM-100</t>
        </is>
      </c>
      <c r="B13" s="84" t="inlineStr">
        <is>
          <t>Fix GameStateBuilder roster parsing (4 bugs)</t>
        </is>
      </c>
      <c r="C13" s="84" t="inlineStr">
        <is>
          <t>Live Pipeline</t>
        </is>
      </c>
      <c r="D13" s="84" t="inlineStr">
        <is>
          <t>Bug</t>
        </is>
      </c>
      <c r="E13" s="85" t="inlineStr">
        <is>
          <t>P1</t>
        </is>
      </c>
      <c r="F13" s="84" t="inlineStr">
        <is>
          <t>S</t>
        </is>
      </c>
      <c r="G13" s="84" t="inlineStr">
        <is>
          <t>Backend Developer</t>
        </is>
      </c>
      <c r="H13" s="89" t="inlineStr">
        <is>
          <t>Closed</t>
        </is>
      </c>
      <c r="I13" s="84" t="inlineStr">
        <is>
          <t>No</t>
        </is>
      </c>
      <c r="J13" s="84" t="inlineStr">
        <is>
          <t>N+1 days_rest queries; wrong availability; dead code; wrong date anchor.</t>
        </is>
      </c>
      <c r="K13" s="84" t="inlineStr">
        <is>
          <t>_batch_days_rest single query; corrected availability; game_date param.</t>
        </is>
      </c>
      <c r="L13" s="84" t="inlineStr">
        <is>
          <t>None</t>
        </is>
      </c>
      <c r="M13" s="84" t="inlineStr">
        <is>
          <t>Shipped sprint 2026-05-05.</t>
        </is>
      </c>
    </row>
    <row r="14" ht="23.25" customHeight="1" s="47">
      <c r="A14" s="84" t="inlineStr">
        <is>
          <t>SIM-101</t>
        </is>
      </c>
      <c r="B14" s="84" t="inlineStr">
        <is>
          <t>Per-game GameStateBuilder cache + incremental play history</t>
        </is>
      </c>
      <c r="C14" s="84" t="inlineStr">
        <is>
          <t>Live Pipeline</t>
        </is>
      </c>
      <c r="D14" s="84" t="inlineStr">
        <is>
          <t>Bug</t>
        </is>
      </c>
      <c r="E14" s="85" t="inlineStr">
        <is>
          <t>P1</t>
        </is>
      </c>
      <c r="F14" s="84" t="inlineStr">
        <is>
          <t>M</t>
        </is>
      </c>
      <c r="G14" s="84" t="inlineStr">
        <is>
          <t>Backend Developer</t>
        </is>
      </c>
      <c r="H14" s="89" t="inlineStr">
        <is>
          <t>Closed</t>
        </is>
      </c>
      <c r="I14" s="84" t="inlineStr">
        <is>
          <t>No</t>
        </is>
      </c>
      <c r="J14" s="84" t="inlineStr">
        <is>
          <t>_parse_play_history rebuilt full history every WS message (O(N)).</t>
        </is>
      </c>
      <c r="K14" s="84" t="inlineStr">
        <is>
          <t>Per-game builder cache; incremental parse from last_at_bat_index.</t>
        </is>
      </c>
      <c r="L14" s="84" t="inlineStr">
        <is>
          <t>SIM-099, SIM-100</t>
        </is>
      </c>
      <c r="M14" s="84" t="inlineStr">
        <is>
          <t>Shipped sprint 2026-05-07. PM-accepted 2026-05-07.</t>
        </is>
      </c>
    </row>
    <row r="15" ht="23.25" customHeight="1" s="47">
      <c r="A15" s="84" t="inlineStr">
        <is>
          <t>SIM-102</t>
        </is>
      </c>
      <c r="B15" s="84" t="inlineStr">
        <is>
          <t>Fix _infer_role() opener misclassification</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IP-only thresholds classified openers as MRP.</t>
        </is>
      </c>
      <c r="K15" s="84" t="inlineStr">
        <is>
          <t>Added Opener bucket using battersFaced; SP -&gt; Opener -&gt; MRP -&gt; RP.</t>
        </is>
      </c>
      <c r="L15" s="84" t="inlineStr">
        <is>
          <t>None</t>
        </is>
      </c>
      <c r="M15" s="84" t="inlineStr">
        <is>
          <t>Shipped sprint 2026-05-07. PM-accepted 2026-05-07. Temporary until SIM-057.</t>
        </is>
      </c>
    </row>
    <row r="16" ht="23.25" customHeight="1" s="47">
      <c r="A16" s="84" t="inlineStr">
        <is>
          <t>SIM-103</t>
        </is>
      </c>
      <c r="B16" s="84" t="inlineStr">
        <is>
          <t>ConnectionManager.broadcast() set snapshot</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Iteration over live set raised RuntimeError on concurrent connect/disconnect.</t>
        </is>
      </c>
      <c r="K16" s="84" t="inlineStr">
        <is>
          <t>Snapshot via set(live_subs) before iterating.</t>
        </is>
      </c>
      <c r="L16" s="84" t="inlineStr">
        <is>
          <t>None</t>
        </is>
      </c>
      <c r="M16" s="84" t="inlineStr">
        <is>
          <t>Shipped sprint 2026-05-07. PM-accepted 2026-05-07.</t>
        </is>
      </c>
    </row>
    <row r="17" ht="23.25" customHeight="1" s="47">
      <c r="A17" s="84" t="inlineStr">
        <is>
          <t>SIM-104</t>
        </is>
      </c>
      <c r="B17" s="84" t="inlineStr">
        <is>
          <t>Add Redis-based rate limiting to /resimulate</t>
        </is>
      </c>
      <c r="C17" s="84" t="inlineStr">
        <is>
          <t>Live Pipeline</t>
        </is>
      </c>
      <c r="D17" s="84" t="inlineStr">
        <is>
          <t>Improvement</t>
        </is>
      </c>
      <c r="E17" s="85" t="inlineStr">
        <is>
          <t>P1</t>
        </is>
      </c>
      <c r="F17" s="84" t="inlineStr">
        <is>
          <t>S</t>
        </is>
      </c>
      <c r="G17" s="84" t="inlineStr">
        <is>
          <t>Backend Developer</t>
        </is>
      </c>
      <c r="H17" s="89" t="inlineStr">
        <is>
          <t>Closed</t>
        </is>
      </c>
      <c r="I17" s="84" t="inlineStr">
        <is>
          <t>No</t>
        </is>
      </c>
      <c r="J17" s="84" t="inlineStr">
        <is>
          <t>No debouncing on manual resimulate endpoint.</t>
        </is>
      </c>
      <c r="K17" s="84" t="inlineStr">
        <is>
          <t>Per-game Redis cooldown; 429 with retry_after_seconds; SIM-109 envelope.</t>
        </is>
      </c>
      <c r="L17" s="84" t="inlineStr">
        <is>
          <t>Redis lifecycle</t>
        </is>
      </c>
      <c r="M17" s="84" t="inlineStr">
        <is>
          <t>Shipped sprint 2026-05-07. PM-accepted 2026-05-07.</t>
        </is>
      </c>
    </row>
    <row r="18" ht="23.25" customHeight="1" s="47">
      <c r="A18" s="84" t="inlineStr">
        <is>
          <t>SIM-105</t>
        </is>
      </c>
      <c r="B18" s="84" t="inlineStr">
        <is>
          <t>Skip redundant upserts for completed games</t>
        </is>
      </c>
      <c r="C18" s="84" t="inlineStr">
        <is>
          <t>Live Pipeline</t>
        </is>
      </c>
      <c r="D18" s="84" t="inlineStr">
        <is>
          <t>Improvement</t>
        </is>
      </c>
      <c r="E18" s="88" t="inlineStr">
        <is>
          <t>P2</t>
        </is>
      </c>
      <c r="F18" s="84" t="inlineStr">
        <is>
          <t>S</t>
        </is>
      </c>
      <c r="G18" s="84" t="inlineStr">
        <is>
          <t>Backend Developer</t>
        </is>
      </c>
      <c r="H18" s="89" t="inlineStr">
        <is>
          <t>Closed</t>
        </is>
      </c>
      <c r="I18" s="84" t="inlineStr">
        <is>
          <t>No</t>
        </is>
      </c>
      <c r="J18" s="84" t="inlineStr">
        <is>
          <t>_sync_live_games called _upsert for finished games on every poll.</t>
        </is>
      </c>
      <c r="K18" s="84" t="inlineStr">
        <is>
          <t>_completed_games skip set + boot-time hydration from raw.games.</t>
        </is>
      </c>
      <c r="L18" s="84" t="inlineStr">
        <is>
          <t>None</t>
        </is>
      </c>
      <c r="M18" s="84" t="inlineStr">
        <is>
          <t>Shipped sprint 2026-05-07. PM-accepted 2026-05-07.</t>
        </is>
      </c>
    </row>
    <row r="19" ht="23.25" customHeight="1" s="47">
      <c r="A19" s="84" t="inlineStr">
        <is>
          <t>SIM-106</t>
        </is>
      </c>
      <c r="B19" s="84" t="inlineStr">
        <is>
          <t>Enforce async callable type on simulation_callback</t>
        </is>
      </c>
      <c r="C19" s="84" t="inlineStr">
        <is>
          <t>Live Pipeline</t>
        </is>
      </c>
      <c r="D19" s="84" t="inlineStr">
        <is>
          <t>Improvement</t>
        </is>
      </c>
      <c r="E19" s="85" t="inlineStr">
        <is>
          <t>P1</t>
        </is>
      </c>
      <c r="F19" s="84" t="inlineStr">
        <is>
          <t>S</t>
        </is>
      </c>
      <c r="G19" s="84" t="inlineStr">
        <is>
          <t>Backend Developer</t>
        </is>
      </c>
      <c r="H19" s="89" t="inlineStr">
        <is>
          <t>Closed</t>
        </is>
      </c>
      <c r="I19" s="84" t="inlineStr">
        <is>
          <t>No</t>
        </is>
      </c>
      <c r="J19" s="84" t="inlineStr">
        <is>
          <t>Callable | None could be a sync fn; failure was hard to diagnose.</t>
        </is>
      </c>
      <c r="K19" s="84" t="inlineStr">
        <is>
          <t>SimulationCallback type alias + iscoroutinefunction guard at __init__.</t>
        </is>
      </c>
      <c r="L19" s="84" t="inlineStr">
        <is>
          <t>None</t>
        </is>
      </c>
      <c r="M19" s="84" t="inlineStr">
        <is>
          <t>Shipped sprint 2026-05-07. PM-accepted 2026-05-07.</t>
        </is>
      </c>
    </row>
  </sheetData>
  <autoFilter ref="A1:M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80" customHeight="1" s="47">
      <c r="A2" s="84" t="inlineStr">
        <is>
          <t>SIM-128</t>
        </is>
      </c>
      <c r="B2" s="84" t="inlineStr">
        <is>
          <t>Redesign override panel as staged-change queue with undo, multi-change, visual indicator system</t>
        </is>
      </c>
      <c r="C2" s="84" t="inlineStr">
        <is>
          <t>Frontend</t>
        </is>
      </c>
      <c r="D2" s="84" t="inlineStr">
        <is>
          <t>Improvement</t>
        </is>
      </c>
      <c r="E2" s="85" t="inlineStr">
        <is>
          <t>P1</t>
        </is>
      </c>
      <c r="F2" s="84" t="inlineStr">
        <is>
          <t>L (1–2 weeks)</t>
        </is>
      </c>
      <c r="G2" s="84" t="inlineStr">
        <is>
          <t>UX Designer</t>
        </is>
      </c>
      <c r="H2" s="87" t="inlineStr">
        <is>
          <t>Open</t>
        </is>
      </c>
      <c r="I2" s="84" t="inlineStr">
        <is>
          <t>No</t>
        </is>
      </c>
      <c r="J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2" s="84" t="inlineStr">
        <is>
          <t>SIM-109 (multi-substitution API endpoint), SIM-126 (Game Page layout — override drawer position)</t>
        </is>
      </c>
      <c r="M2" s="84" t="inlineStr">
        <is>
          <t>Most complex UI component — must be fully spec'd before Phase 6 Step 6.5 begins.</t>
        </is>
      </c>
    </row>
    <row r="3" ht="157.5" customHeight="1" s="47">
      <c r="A3" s="84" t="inlineStr">
        <is>
          <t>SIM-130</t>
        </is>
      </c>
      <c r="B3" s="84" t="inlineStr">
        <is>
          <t>Spec additions for Day Summary page: card lineup collapse, field graphic label rules, date navigation zones</t>
        </is>
      </c>
      <c r="C3" s="84" t="inlineStr">
        <is>
          <t>Frontend</t>
        </is>
      </c>
      <c r="D3" s="84" t="inlineStr">
        <is>
          <t>Bug</t>
        </is>
      </c>
      <c r="E3" s="85" t="inlineStr">
        <is>
          <t>P1</t>
        </is>
      </c>
      <c r="F3" s="84" t="inlineStr">
        <is>
          <t>M (3–5 days)</t>
        </is>
      </c>
      <c r="G3" s="84" t="inlineStr">
        <is>
          <t>UX Designer</t>
        </is>
      </c>
      <c r="H3" s="87" t="inlineStr">
        <is>
          <t>Open</t>
        </is>
      </c>
      <c r="I3" s="84" t="inlineStr">
        <is>
          <t>No</t>
        </is>
      </c>
      <c r="J3"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3"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3" s="84" t="inlineStr">
        <is>
          <t>SIM-125 (mobile wireframes), SIM-126 (Game Page layout)</t>
        </is>
      </c>
      <c r="M3" s="84" t="inlineStr">
        <is>
          <t>Spec additions for Phase 6 Steps 6.2 and 6.3 — required before those steps begin implementation.</t>
        </is>
      </c>
    </row>
    <row r="4" ht="168.75" customHeight="1" s="47">
      <c r="A4" s="84" t="inlineStr">
        <is>
          <t>SIM-127</t>
        </is>
      </c>
      <c r="B4" s="84" t="inlineStr">
        <is>
          <t>Define simulation staleness system: last-updated timestamp, amber indicator, loading states, empty states</t>
        </is>
      </c>
      <c r="C4" s="84" t="inlineStr">
        <is>
          <t>Frontend</t>
        </is>
      </c>
      <c r="D4" s="84" t="inlineStr">
        <is>
          <t>Gap</t>
        </is>
      </c>
      <c r="E4" s="85" t="inlineStr">
        <is>
          <t>P1</t>
        </is>
      </c>
      <c r="F4" s="84" t="inlineStr">
        <is>
          <t>M (3–5 days)</t>
        </is>
      </c>
      <c r="G4" s="84" t="inlineStr">
        <is>
          <t>UX Designer + Backend Developer</t>
        </is>
      </c>
      <c r="H4" s="87" t="inlineStr">
        <is>
          <t>Open</t>
        </is>
      </c>
      <c r="I4" s="84" t="inlineStr">
        <is>
          <t>No</t>
        </is>
      </c>
      <c r="J4"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4"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4" s="84" t="inlineStr">
        <is>
          <t>SIM-112 (simulated_at and confidence_interval fields), SIM-125/126 (layout wireframes)</t>
        </is>
      </c>
      <c r="M4" s="84" t="inlineStr">
        <is>
          <t>Betting-critical: users making financial decisions must know the age and reliability of displayed data.</t>
        </is>
      </c>
    </row>
    <row r="5" ht="157.5" customHeight="1" s="47">
      <c r="A5" s="84" t="inlineStr">
        <is>
          <t>SIM-131</t>
        </is>
      </c>
      <c r="B5" s="84" t="inlineStr">
        <is>
          <t>Define WebSocket live update state machine and play-by-play virtualization requirements</t>
        </is>
      </c>
      <c r="C5" s="84" t="inlineStr">
        <is>
          <t>Frontend</t>
        </is>
      </c>
      <c r="D5" s="84" t="inlineStr">
        <is>
          <t>Gap</t>
        </is>
      </c>
      <c r="E5" s="85" t="inlineStr">
        <is>
          <t>P1</t>
        </is>
      </c>
      <c r="F5" s="84" t="inlineStr">
        <is>
          <t>M (3–5 days)</t>
        </is>
      </c>
      <c r="G5" s="84" t="inlineStr">
        <is>
          <t>UX Designer + Backend Developer</t>
        </is>
      </c>
      <c r="H5" s="87" t="inlineStr">
        <is>
          <t>Open</t>
        </is>
      </c>
      <c r="I5" s="84" t="inlineStr">
        <is>
          <t>No</t>
        </is>
      </c>
      <c r="J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5" s="84" t="inlineStr">
        <is>
          <t>SIM-109 (WS channel architecture), SIM-126 (Game Page layout)</t>
        </is>
      </c>
      <c r="M5" s="84" t="inlineStr">
        <is>
          <t>Required for Phase 6 Steps 6.3 and 6.4 correctness. WS state machine spec must precede implementation.</t>
        </is>
      </c>
    </row>
    <row r="6" ht="168.75" customHeight="1" s="47">
      <c r="A6" s="84" t="inlineStr">
        <is>
          <t>SIM-129</t>
        </is>
      </c>
      <c r="B6" s="84" t="inlineStr">
        <is>
          <t>Add distribution views to ScoreDistributionChart and ProjectedBoxscore — averages lose prop signal</t>
        </is>
      </c>
      <c r="C6" s="84" t="inlineStr">
        <is>
          <t>Frontend</t>
        </is>
      </c>
      <c r="D6" s="84" t="inlineStr">
        <is>
          <t>Improvement</t>
        </is>
      </c>
      <c r="E6" s="85" t="inlineStr">
        <is>
          <t>P1</t>
        </is>
      </c>
      <c r="F6" s="84" t="inlineStr">
        <is>
          <t>M (3–5 days)</t>
        </is>
      </c>
      <c r="G6" s="84" t="inlineStr">
        <is>
          <t>UX Designer + Betting Analyst</t>
        </is>
      </c>
      <c r="H6" s="87" t="inlineStr">
        <is>
          <t>Open</t>
        </is>
      </c>
      <c r="I6" s="84" t="inlineStr">
        <is>
          <t>No</t>
        </is>
      </c>
      <c r="J6"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6"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6" s="84" t="inlineStr">
        <is>
          <t>SIM-112 (raw per-iteration lists), SIM-124 (Betting Analyst input on distribution display)</t>
        </is>
      </c>
      <c r="M6" s="84" t="inlineStr">
        <is>
          <t>The core CLV display feature — this is how the platform's prop predictions are validated against markets.</t>
        </is>
      </c>
    </row>
  </sheetData>
  <autoFilter ref="A1:M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M4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46" t="inlineStr">
        <is>
          <t>Ticket ID</t>
        </is>
      </c>
      <c r="B1" s="46" t="inlineStr">
        <is>
          <t>Title</t>
        </is>
      </c>
      <c r="C1" s="46" t="inlineStr">
        <is>
          <t>Category</t>
        </is>
      </c>
      <c r="D1" s="46" t="inlineStr">
        <is>
          <t>Type</t>
        </is>
      </c>
      <c r="E1" s="46" t="inlineStr">
        <is>
          <t>Priority</t>
        </is>
      </c>
      <c r="F1" s="46" t="inlineStr">
        <is>
          <t>Size</t>
        </is>
      </c>
      <c r="G1" s="46" t="inlineStr">
        <is>
          <t>Assignee Role</t>
        </is>
      </c>
      <c r="H1" s="46" t="inlineStr">
        <is>
          <t>Status</t>
        </is>
      </c>
      <c r="I1" s="46" t="inlineStr">
        <is>
          <t>Blocked</t>
        </is>
      </c>
      <c r="J1" s="46" t="inlineStr">
        <is>
          <t>Description/Problem Statement</t>
        </is>
      </c>
      <c r="K1" s="46" t="inlineStr">
        <is>
          <t>Acceptance Criteria</t>
        </is>
      </c>
      <c r="L1" s="46" t="inlineStr">
        <is>
          <t>Dependencies</t>
        </is>
      </c>
      <c r="M1" s="46" t="inlineStr">
        <is>
          <t>Notes/Rationale</t>
        </is>
      </c>
    </row>
    <row r="2">
      <c r="A2" s="46" t="inlineStr">
        <is>
          <t>SIM-378</t>
        </is>
      </c>
      <c r="B2" s="46" t="inlineStr">
        <is>
          <t>React-vs-vanilla-JS architecture decision (ADR)</t>
        </is>
      </c>
      <c r="C2" s="46" t="inlineStr">
        <is>
          <t>Phase 6 - Frontend Foundation</t>
        </is>
      </c>
      <c r="D2" s="46" t="inlineStr">
        <is>
          <t>Spec</t>
        </is>
      </c>
      <c r="E2" s="46" t="inlineStr">
        <is>
          <t>P0</t>
        </is>
      </c>
      <c r="F2" s="46" t="inlineStr">
        <is>
          <t>S</t>
        </is>
      </c>
      <c r="G2" s="46" t="inlineStr">
        <is>
          <t>UX Designer + Backend Developer + QA/DevOps</t>
        </is>
      </c>
      <c r="H2" s="46" t="inlineStr">
        <is>
          <t>Closed</t>
        </is>
      </c>
      <c r="I2" s="46" t="inlineStr">
        <is>
          <t>No</t>
        </is>
      </c>
      <c r="J2" s="46" t="inlineStr">
        <is>
          <t>The agent_team.md kickoff 'key deferred decision' is unrecorded; all build tooling + the override UI complexity hinge on it.</t>
        </is>
      </c>
      <c r="K2" s="46" t="inlineStr">
        <is>
          <t>One-page ADR in docs/architecture/ picks framework + bundler + dir layout + Node version, justified by override-panel + WS-state needs.</t>
        </is>
      </c>
      <c r="M2" s="46" t="inlineStr">
        <is>
          <t>Tier P0. Blocks every build ticket.</t>
        </is>
      </c>
    </row>
    <row r="3">
      <c r="A3" s="46" t="inlineStr">
        <is>
          <t>SIM-379</t>
        </is>
      </c>
      <c r="B3" s="46" t="inlineStr">
        <is>
          <t>Frontend scaffold + build tooling + frontend CI job</t>
        </is>
      </c>
      <c r="C3" s="46" t="inlineStr">
        <is>
          <t>Phase 6 - Frontend Foundation</t>
        </is>
      </c>
      <c r="D3" s="46" t="inlineStr">
        <is>
          <t>Infra</t>
        </is>
      </c>
      <c r="E3" s="46" t="inlineStr">
        <is>
          <t>P0</t>
        </is>
      </c>
      <c r="F3" s="46" t="inlineStr">
        <is>
          <t>M</t>
        </is>
      </c>
      <c r="G3" s="46" t="inlineStr">
        <is>
          <t>UX Designer + QA/DevOps</t>
        </is>
      </c>
      <c r="H3" s="46" t="inlineStr">
        <is>
          <t>Closed</t>
        </is>
      </c>
      <c r="I3" s="46" t="inlineStr">
        <is>
          <t>No</t>
        </is>
      </c>
      <c r="J3" s="46" t="inlineStr">
        <is>
          <t>No package.json/bundler/lint/test runner exists; component dirs empty; CI has no JS lane.</t>
        </is>
      </c>
      <c r="K3" s="46" t="inlineStr">
        <is>
          <t>Scaffold builds; npm build/dev/test/lint work; path-filtered frontend CI job (node-&gt;install-&gt;lint-&gt;typecheck-&gt;unit) blocks PRs.</t>
        </is>
      </c>
      <c r="L3" s="46" t="inlineStr">
        <is>
          <t>SIM-378</t>
        </is>
      </c>
      <c r="M3" s="46" t="inlineStr">
        <is>
          <t>Tier P0.</t>
        </is>
      </c>
    </row>
    <row r="4">
      <c r="A4" s="46" t="inlineStr">
        <is>
          <t>SIM-380</t>
        </is>
      </c>
      <c r="B4" s="46" t="inlineStr">
        <is>
          <t>Design-system foundation (tokens, typography, spacing, Card/Panel/Badge)</t>
        </is>
      </c>
      <c r="C4" s="46" t="inlineStr">
        <is>
          <t>Phase 6 - Frontend Foundation</t>
        </is>
      </c>
      <c r="D4" s="46" t="inlineStr">
        <is>
          <t>Feature</t>
        </is>
      </c>
      <c r="E4" s="46" t="inlineStr">
        <is>
          <t>P0</t>
        </is>
      </c>
      <c r="F4" s="46" t="inlineStr">
        <is>
          <t>M</t>
        </is>
      </c>
      <c r="G4" s="46" t="inlineStr">
        <is>
          <t>UX Designer</t>
        </is>
      </c>
      <c r="H4" s="46" t="inlineStr">
        <is>
          <t>Closed</t>
        </is>
      </c>
      <c r="I4" s="46" t="inlineStr">
        <is>
          <t>No</t>
        </is>
      </c>
      <c r="J4" s="46" t="inlineStr">
        <is>
          <t>Design system has no code; only ad-hoc CSS vars in similarity_explorer.html.</t>
        </is>
      </c>
      <c r="K4" s="46" t="inlineStr">
        <is>
          <t>Token file + shared Card/Panel/Badge primitives + light/dark; reused by &gt;=2 components.</t>
        </is>
      </c>
      <c r="L4" s="46" t="inlineStr">
        <is>
          <t>SIM-379</t>
        </is>
      </c>
      <c r="M4" s="46" t="inlineStr">
        <is>
          <t>Tier P0.</t>
        </is>
      </c>
    </row>
    <row r="5">
      <c r="A5" s="46" t="inlineStr">
        <is>
          <t>SIM-381</t>
        </is>
      </c>
      <c r="B5" s="46" t="inlineStr">
        <is>
          <t>API-&gt;frontend serving path (StaticFiles / nginx SPA fallback)</t>
        </is>
      </c>
      <c r="C5" s="46" t="inlineStr">
        <is>
          <t>Phase 6 - Frontend Foundation</t>
        </is>
      </c>
      <c r="D5" s="46" t="inlineStr">
        <is>
          <t>Gap</t>
        </is>
      </c>
      <c r="E5" s="46" t="inlineStr">
        <is>
          <t>P0</t>
        </is>
      </c>
      <c r="F5" s="46" t="inlineStr">
        <is>
          <t>S</t>
        </is>
      </c>
      <c r="G5" s="46" t="inlineStr">
        <is>
          <t>Backend Developer + UX Designer</t>
        </is>
      </c>
      <c r="H5" s="46" t="inlineStr">
        <is>
          <t>Closed</t>
        </is>
      </c>
      <c r="I5" s="46" t="inlineStr">
        <is>
          <t>No</t>
        </is>
      </c>
      <c r="J5" s="46" t="inlineStr">
        <is>
          <t>api/main.py:15 'frontend serving' TODO; no StaticFiles mount; nginx has no static location/SPA fallback.</t>
        </is>
      </c>
      <c r="K5" s="46" t="inlineStr">
        <is>
          <t>FastAPI/nginx serves the built bundle behind auth/CORS with deep-link fallback.</t>
        </is>
      </c>
      <c r="L5" s="46" t="inlineStr">
        <is>
          <t>SIM-378</t>
        </is>
      </c>
      <c r="M5" s="46" t="inlineStr">
        <is>
          <t>Tier P0.</t>
        </is>
      </c>
    </row>
    <row r="6">
      <c r="A6" s="46" t="inlineStr">
        <is>
          <t>SIM-382</t>
        </is>
      </c>
      <c r="B6" s="46" t="inlineStr">
        <is>
          <t>Backfill 8 phantom Phase-6 parent tickets + re-map SIM-127-131 deps</t>
        </is>
      </c>
      <c r="C6" s="46" t="inlineStr">
        <is>
          <t>Phase 6 - Frontend Foundation</t>
        </is>
      </c>
      <c r="D6" s="46" t="inlineStr">
        <is>
          <t>Gap</t>
        </is>
      </c>
      <c r="E6" s="46" t="inlineStr">
        <is>
          <t>P0</t>
        </is>
      </c>
      <c r="F6" s="46" t="inlineStr">
        <is>
          <t>M</t>
        </is>
      </c>
      <c r="G6" s="46" t="inlineStr">
        <is>
          <t>Product Manager + UX Designer + Backend Developer</t>
        </is>
      </c>
      <c r="H6" s="46" t="inlineStr">
        <is>
          <t>Closed</t>
        </is>
      </c>
      <c r="I6" s="46" t="inlineStr">
        <is>
          <t>No</t>
        </is>
      </c>
      <c r="J6" s="46" t="inlineStr">
        <is>
          <t>SIM-127-131 cite SIM-108/109/112/122-126 which do not exist anywhere in the backlog (QA-confirmed); the design chain is broken.</t>
        </is>
      </c>
      <c r="K6" s="46" t="inlineStr">
        <is>
          <t>File the 8 missing parents (multi-sub API, simulated_at/CI fields, raw per-iteration arrays, Day Summary/Game Page/mobile wireframes); re-point all SIM-127-131 deps so each resolves.</t>
        </is>
      </c>
      <c r="M6" s="46" t="inlineStr">
        <is>
          <t>Tier P0.</t>
        </is>
      </c>
    </row>
    <row r="7">
      <c r="A7" s="46" t="inlineStr">
        <is>
          <t>SIM-383</t>
        </is>
      </c>
      <c r="B7" s="46" t="inlineStr">
        <is>
          <t>Enrich GET /api/games/{date} with team/venue names + records</t>
        </is>
      </c>
      <c r="C7" s="46" t="inlineStr">
        <is>
          <t>Phase 6 - API Contract</t>
        </is>
      </c>
      <c r="D7" s="46" t="inlineStr">
        <is>
          <t>Feature</t>
        </is>
      </c>
      <c r="E7" s="46" t="inlineStr">
        <is>
          <t>P0</t>
        </is>
      </c>
      <c r="F7" s="46" t="inlineStr">
        <is>
          <t>M</t>
        </is>
      </c>
      <c r="G7" s="46" t="inlineStr">
        <is>
          <t>Backend Developer + Data Engineer</t>
        </is>
      </c>
      <c r="H7" s="46" t="inlineStr">
        <is>
          <t>Closed</t>
        </is>
      </c>
      <c r="I7" s="46" t="inlineStr">
        <is>
          <t>No</t>
        </is>
      </c>
      <c r="J7" s="46" t="inlineStr">
        <is>
          <t>GameCard returns bare integer IDs; raw.teams/raw.venues exist but unjoined; no standings/records table exists at all.</t>
        </is>
      </c>
      <c r="K7" s="46" t="inlineStr">
        <is>
          <t>JOIN team names/abbrevs + venue name; add a records source (new raw.team_records ingest or compute from finals) or explicitly defer.</t>
        </is>
      </c>
      <c r="M7" s="46" t="inlineStr">
        <is>
          <t>Tier P0.</t>
        </is>
      </c>
    </row>
    <row r="8">
      <c r="A8" s="46" t="inlineStr">
        <is>
          <t>SIM-384</t>
        </is>
      </c>
      <c r="B8" s="46" t="inlineStr">
        <is>
          <t>Single game-card aggregate endpoint + status enum (scheduled/live/final)</t>
        </is>
      </c>
      <c r="C8" s="46" t="inlineStr">
        <is>
          <t>Phase 6 - API Contract</t>
        </is>
      </c>
      <c r="D8" s="46" t="inlineStr">
        <is>
          <t>Feature</t>
        </is>
      </c>
      <c r="E8" s="46" t="inlineStr">
        <is>
          <t>P0</t>
        </is>
      </c>
      <c r="F8" s="46" t="inlineStr">
        <is>
          <t>M</t>
        </is>
      </c>
      <c r="G8" s="46" t="inlineStr">
        <is>
          <t>Backend Developer</t>
        </is>
      </c>
      <c r="H8" s="46" t="inlineStr">
        <is>
          <t>Closed</t>
        </is>
      </c>
      <c r="I8" s="46" t="inlineStr">
        <is>
          <t>No</t>
        </is>
      </c>
      <c r="J8" s="46" t="inlineStr">
        <is>
          <t>3-state cards + Game page need identity+status+sim-aggregate+odds in one call (today 2-4 calls); raw.games.status is unmapped to a card state.</t>
        </is>
      </c>
      <c r="K8" s="46" t="inlineStr">
        <is>
          <t>GET /games/{game_pk}/summary returns {identity, status_enum, GameSimSummaryLite, odds}.</t>
        </is>
      </c>
      <c r="L8" s="46" t="inlineStr">
        <is>
          <t>SIM-383</t>
        </is>
      </c>
      <c r="M8" s="46" t="inlineStr">
        <is>
          <t>Tier P0.</t>
        </is>
      </c>
    </row>
    <row r="9">
      <c r="A9" s="46" t="inlineStr">
        <is>
          <t>SIM-385</t>
        </is>
      </c>
      <c r="B9" s="46" t="inlineStr">
        <is>
          <t>Typed + documented WebSocket event schema</t>
        </is>
      </c>
      <c r="C9" s="46" t="inlineStr">
        <is>
          <t>Phase 6 - API Contract</t>
        </is>
      </c>
      <c r="D9" s="46" t="inlineStr">
        <is>
          <t>Feature</t>
        </is>
      </c>
      <c r="E9" s="46" t="inlineStr">
        <is>
          <t>P0</t>
        </is>
      </c>
      <c r="F9" s="46" t="inlineStr">
        <is>
          <t>M</t>
        </is>
      </c>
      <c r="G9" s="46" t="inlineStr">
        <is>
          <t>Backend Developer</t>
        </is>
      </c>
      <c r="H9" s="46" t="inlineStr">
        <is>
          <t>Closed</t>
        </is>
      </c>
      <c r="I9" s="46" t="inlineStr">
        <is>
          <t>No</t>
        </is>
      </c>
      <c r="J9" s="46" t="inlineStr">
        <is>
          <t>WS broadcasts are untyped raw dicts (game_state_update/resim_pending/ping/pong) with no Pydantic models or AsyncAPI doc.</t>
        </is>
      </c>
      <c r="K9" s="46" t="inlineStr">
        <is>
          <t>Pydantic model per WS message type; documented channel contract; typed-client consumable.</t>
        </is>
      </c>
      <c r="M9" s="46" t="inlineStr">
        <is>
          <t>Tier P0.</t>
        </is>
      </c>
    </row>
    <row r="10">
      <c r="A10" s="46" t="inlineStr">
        <is>
          <t>SIM-386</t>
        </is>
      </c>
      <c r="B10" s="46" t="inlineStr">
        <is>
          <t>Live in-progress game-state read path on the main API</t>
        </is>
      </c>
      <c r="C10" s="46" t="inlineStr">
        <is>
          <t>Phase 6 - API Contract</t>
        </is>
      </c>
      <c r="D10" s="46" t="inlineStr">
        <is>
          <t>Feature</t>
        </is>
      </c>
      <c r="E10" s="46" t="inlineStr">
        <is>
          <t>P0</t>
        </is>
      </c>
      <c r="F10" s="46" t="inlineStr">
        <is>
          <t>L</t>
        </is>
      </c>
      <c r="G10" s="46" t="inlineStr">
        <is>
          <t>Data Engineer + Backend Developer</t>
        </is>
      </c>
      <c r="H10" s="46" t="inlineStr">
        <is>
          <t>Closed</t>
        </is>
      </c>
      <c r="I10" s="46" t="inlineStr">
        <is>
          <t>No</t>
        </is>
      </c>
      <c r="J10" s="46" t="inlineStr">
        <is>
          <t>Live sim.lineup_state is only served by the separate pipeline app on :8001; api/routes/ has no live read path so in-progress cards are unreachable.</t>
        </is>
      </c>
      <c r="K10" s="46" t="inlineStr">
        <is>
          <t>Main API exposes current live game state per game_pk (read sim.lineup_state or proxy) + freshness timestamp.</t>
        </is>
      </c>
      <c r="L10" s="46" t="inlineStr">
        <is>
          <t>SIM-384</t>
        </is>
      </c>
      <c r="M10" s="46" t="inlineStr">
        <is>
          <t>Tier P0.</t>
        </is>
      </c>
    </row>
    <row r="11">
      <c r="A11" s="46" t="inlineStr">
        <is>
          <t>SIM-387</t>
        </is>
      </c>
      <c r="B11" s="46" t="inlineStr">
        <is>
          <t>Fix dead calibration wiring at the betting edge/CLV call site</t>
        </is>
      </c>
      <c r="C11" s="46" t="inlineStr">
        <is>
          <t>Phase 6 - Betting</t>
        </is>
      </c>
      <c r="D11" s="46" t="inlineStr">
        <is>
          <t>Bug</t>
        </is>
      </c>
      <c r="E11" s="46" t="inlineStr">
        <is>
          <t>P0</t>
        </is>
      </c>
      <c r="F11" s="46" t="inlineStr">
        <is>
          <t>S</t>
        </is>
      </c>
      <c r="G11" s="46" t="inlineStr">
        <is>
          <t>Backend Developer + ML Engineer</t>
        </is>
      </c>
      <c r="H11" s="46" t="inlineStr">
        <is>
          <t>Closed</t>
        </is>
      </c>
      <c r="I11" s="46" t="inlineStr">
        <is>
          <t>No</t>
        </is>
      </c>
      <c r="J11" s="46" t="inlineStr">
        <is>
          <t>betting.py:329 calls win_probability(summary) with no calibration_map= so moneyline edges/CLV use the IDENTITY map though app.state.calibration_map is loaded at boot.</t>
        </is>
      </c>
      <c r="K11" s="46" t="inlineStr">
        <is>
          <t>Thread request.app.state.calibration_map; response surfaces the map name; regression asserts a non-identity map changes the edge.</t>
        </is>
      </c>
      <c r="M11" s="46" t="inlineStr">
        <is>
          <t>Tier P0. Defect today.</t>
        </is>
      </c>
    </row>
    <row r="12">
      <c r="A12" s="46" t="inlineStr">
        <is>
          <t>SIM-388</t>
        </is>
      </c>
      <c r="B12" s="46" t="inlineStr">
        <is>
          <t>Multi-substitution override (array body) - unblocks SIM-128</t>
        </is>
      </c>
      <c r="C12" s="46" t="inlineStr">
        <is>
          <t>Phase 6 - API Contract</t>
        </is>
      </c>
      <c r="D12" s="46" t="inlineStr">
        <is>
          <t>Feature</t>
        </is>
      </c>
      <c r="E12" s="46" t="inlineStr">
        <is>
          <t>P0</t>
        </is>
      </c>
      <c r="F12" s="46" t="inlineStr">
        <is>
          <t>M</t>
        </is>
      </c>
      <c r="G12" s="46" t="inlineStr">
        <is>
          <t>Backend Developer</t>
        </is>
      </c>
      <c r="H12" s="46" t="inlineStr">
        <is>
          <t>Closed</t>
        </is>
      </c>
      <c r="I12" s="46" t="inlineStr">
        <is>
          <t>No</t>
        </is>
      </c>
      <c r="J12" s="46" t="inlineStr">
        <is>
          <t>RosterOverride accepts a single pitcher/bat_hand + full lineup arrays only; cannot express N discrete substitutions.</t>
        </is>
      </c>
      <c r="K12" s="46" t="inlineStr">
        <is>
          <t>substitutions: list[Substitution] (slot/out/in/role) applied in order; back-compatible.</t>
        </is>
      </c>
      <c r="M12" s="46" t="inlineStr">
        <is>
          <t>Tier P0.</t>
        </is>
      </c>
    </row>
    <row r="13">
      <c r="A13" s="46" t="inlineStr">
        <is>
          <t>SIM-389</t>
        </is>
      </c>
      <c r="B13" s="46" t="inlineStr">
        <is>
          <t>Enforce auth on data/expensive routes + browser session model + fix dev CORS</t>
        </is>
      </c>
      <c r="C13" s="46" t="inlineStr">
        <is>
          <t>Phase 6 - API Contract</t>
        </is>
      </c>
      <c r="D13" s="46" t="inlineStr">
        <is>
          <t>Security</t>
        </is>
      </c>
      <c r="E13" s="46" t="inlineStr">
        <is>
          <t>P0</t>
        </is>
      </c>
      <c r="F13" s="46" t="inlineStr">
        <is>
          <t>M</t>
        </is>
      </c>
      <c r="G13" s="46" t="inlineStr">
        <is>
          <t>Backend Developer + QA/DevOps</t>
        </is>
      </c>
      <c r="H13" s="46" t="inlineStr">
        <is>
          <t>Closed</t>
        </is>
      </c>
      <c r="I13" s="46" t="inlineStr">
        <is>
          <t>No</t>
        </is>
      </c>
      <c r="J13" s="46" t="inlineStr">
        <is>
          <t>require_api_key is defined but applied to zero routes; all endpoints open; dev CORS is ['*']+credentials.</t>
        </is>
      </c>
      <c r="K13" s="46" t="inlineStr">
        <is>
          <t>Decide SPA auth (session/JWT/cookie or public-read); apply to mutating/expensive routes; WS auth handshake; remove the *+credentials footgun.</t>
        </is>
      </c>
      <c r="M13" s="46" t="inlineStr">
        <is>
          <t>Tier P0. Defect today.</t>
        </is>
      </c>
    </row>
    <row r="14">
      <c r="A14" s="46" t="inlineStr">
        <is>
          <t>SIM-390</t>
        </is>
      </c>
      <c r="B14" s="46" t="inlineStr">
        <is>
          <t>Player-prop edge/signal API endpoints</t>
        </is>
      </c>
      <c r="C14" s="46" t="inlineStr">
        <is>
          <t>Phase 6 - Betting</t>
        </is>
      </c>
      <c r="D14" s="46" t="inlineStr">
        <is>
          <t>Feature</t>
        </is>
      </c>
      <c r="E14" s="46" t="inlineStr">
        <is>
          <t>P0</t>
        </is>
      </c>
      <c r="F14" s="46" t="inlineStr">
        <is>
          <t>L</t>
        </is>
      </c>
      <c r="G14" s="46" t="inlineStr">
        <is>
          <t>Backend Developer + Betting Analyst</t>
        </is>
      </c>
      <c r="H14" s="46" t="inlineStr">
        <is>
          <t>Closed</t>
        </is>
      </c>
      <c r="I14" s="46" t="inlineStr">
        <is>
          <t>No</t>
        </is>
      </c>
      <c r="J14" s="46" t="inlineStr">
        <is>
          <t>prop_edge_report + p_over exist + tested but no route calls them; props only surface as boxscore means.</t>
        </is>
      </c>
      <c r="K14" s="46" t="inlineStr">
        <is>
          <t>GET /games/{pk}/props/edges (+signals) returns per-player/per-prop EdgeReportModel joining PropDistributionSet to get_prop_odds.</t>
        </is>
      </c>
      <c r="L14" s="46" t="inlineStr">
        <is>
          <t>SIM-387</t>
        </is>
      </c>
      <c r="M14" s="46" t="inlineStr">
        <is>
          <t>Tier P0.</t>
        </is>
      </c>
    </row>
    <row r="15">
      <c r="A15" s="46" t="inlineStr">
        <is>
          <t>SIM-391</t>
        </is>
      </c>
      <c r="B15" s="46" t="inlineStr">
        <is>
          <t>Build Day Summary page (date nav + game-count badge + 3-state cards)</t>
        </is>
      </c>
      <c r="C15" s="46" t="inlineStr">
        <is>
          <t>Phase 6 - Frontend Build</t>
        </is>
      </c>
      <c r="D15" s="46" t="inlineStr">
        <is>
          <t>Feature</t>
        </is>
      </c>
      <c r="E15" s="46" t="inlineStr">
        <is>
          <t>P1</t>
        </is>
      </c>
      <c r="F15" s="46" t="inlineStr">
        <is>
          <t>L</t>
        </is>
      </c>
      <c r="G15" s="46" t="inlineStr">
        <is>
          <t>UX Designer + Backend Developer</t>
        </is>
      </c>
      <c r="H15" s="46" t="inlineStr">
        <is>
          <t>Closed</t>
        </is>
      </c>
      <c r="I15" s="46" t="inlineStr">
        <is>
          <t>No</t>
        </is>
      </c>
      <c r="J15" s="46" t="inlineStr">
        <is>
          <t>Spec'd in agent_team.md/README but unbuilt; the primary entry screen.</t>
        </is>
      </c>
      <c r="K15" s="46" t="inlineStr">
        <is>
          <t>Date back/fwd/today/picker; count badge; in-progress/completed/not-started cards render from live API.</t>
        </is>
      </c>
      <c r="L15" s="46" t="inlineStr">
        <is>
          <t>SIM-380, SIM-383, SIM-384</t>
        </is>
      </c>
      <c r="M15" s="46" t="inlineStr">
        <is>
          <t>Tier P1.</t>
        </is>
      </c>
    </row>
    <row r="16">
      <c r="A16" s="46" t="inlineStr">
        <is>
          <t>SIM-392</t>
        </is>
      </c>
      <c r="B16" s="46" t="inlineStr">
        <is>
          <t>Build LinescoreGraphic + BaseballFieldGraphic SVG</t>
        </is>
      </c>
      <c r="C16" s="46" t="inlineStr">
        <is>
          <t>Phase 6 - Frontend Build</t>
        </is>
      </c>
      <c r="D16" s="46" t="inlineStr">
        <is>
          <t>Feature</t>
        </is>
      </c>
      <c r="E16" s="46" t="inlineStr">
        <is>
          <t>P1</t>
        </is>
      </c>
      <c r="F16" s="46" t="inlineStr">
        <is>
          <t>M</t>
        </is>
      </c>
      <c r="G16" s="46" t="inlineStr">
        <is>
          <t>UX Designer + Backend Developer</t>
        </is>
      </c>
      <c r="H16" s="46" t="inlineStr">
        <is>
          <t>Closed</t>
        </is>
      </c>
      <c r="I16" s="46" t="inlineStr">
        <is>
          <t>No</t>
        </is>
      </c>
      <c r="J16" s="46" t="inlineStr">
        <is>
          <t>Inning grid+R/H/E and 9-position SVG field are unbuilt; must handle partial/extra/tie innings + label collisions.</t>
        </is>
      </c>
      <c r="K16" s="46" t="inlineStr">
        <is>
          <t>Linescore handles partial/extra/tie 'x'; field SVG places 9 fielders+batter+runners with labels; degrades gracefully when fielders absent.</t>
        </is>
      </c>
      <c r="L16" s="46" t="inlineStr">
        <is>
          <t>SIM-380, SIM-386</t>
        </is>
      </c>
      <c r="M16" s="46" t="inlineStr">
        <is>
          <t>Tier P1.</t>
        </is>
      </c>
    </row>
    <row r="17">
      <c r="A17" s="46" t="inlineStr">
        <is>
          <t>SIM-393</t>
        </is>
      </c>
      <c r="B17" s="46" t="inlineStr">
        <is>
          <t>Build Game page (play-by-play + pitch drill-down + per-player sim panels)</t>
        </is>
      </c>
      <c r="C17" s="46" t="inlineStr">
        <is>
          <t>Phase 6 - Frontend Build</t>
        </is>
      </c>
      <c r="D17" s="46" t="inlineStr">
        <is>
          <t>Feature</t>
        </is>
      </c>
      <c r="E17" s="46" t="inlineStr">
        <is>
          <t>P1</t>
        </is>
      </c>
      <c r="F17" s="46" t="inlineStr">
        <is>
          <t>L</t>
        </is>
      </c>
      <c r="G17" s="46" t="inlineStr">
        <is>
          <t>UX Designer + Backend Developer</t>
        </is>
      </c>
      <c r="H17" s="46" t="inlineStr">
        <is>
          <t>Closed</t>
        </is>
      </c>
      <c r="I17" s="46" t="inlineStr">
        <is>
          <t>No</t>
        </is>
      </c>
      <c r="J17" s="46" t="inlineStr">
        <is>
          <t>The core game view is unbuilt; needs WS state machine + list virtualization.</t>
        </is>
      </c>
      <c r="K17" s="46" t="inlineStr">
        <is>
          <t>Virtualized PBP; pitch drill-down to /state/{at_bat}/{pitch}; per-player projection panels; live WS updates.</t>
        </is>
      </c>
      <c r="L17" s="46" t="inlineStr">
        <is>
          <t>SIM-391, SIM-385</t>
        </is>
      </c>
      <c r="M17" s="46" t="inlineStr">
        <is>
          <t>Tier P1.</t>
        </is>
      </c>
    </row>
    <row r="18">
      <c r="A18" s="46" t="inlineStr">
        <is>
          <t>SIM-394</t>
        </is>
      </c>
      <c r="B18" s="46" t="inlineStr">
        <is>
          <t>Build per-player boxscore (100-iter averages + distribution views)</t>
        </is>
      </c>
      <c r="C18" s="46" t="inlineStr">
        <is>
          <t>Phase 6 - Frontend Build</t>
        </is>
      </c>
      <c r="D18" s="46" t="inlineStr">
        <is>
          <t>Feature</t>
        </is>
      </c>
      <c r="E18" s="46" t="inlineStr">
        <is>
          <t>P1</t>
        </is>
      </c>
      <c r="F18" s="46" t="inlineStr">
        <is>
          <t>M</t>
        </is>
      </c>
      <c r="G18" s="46" t="inlineStr">
        <is>
          <t>UX Designer + Betting Analyst</t>
        </is>
      </c>
      <c r="H18" s="46" t="inlineStr">
        <is>
          <t>Closed</t>
        </is>
      </c>
      <c r="I18" s="46" t="inlineStr">
        <is>
          <t>No</t>
        </is>
      </c>
      <c r="J18" s="46" t="inlineStr">
        <is>
          <t>Averages alone lose prop signal; distribution views (subsumes SIM-129) unbuilt.</t>
        </is>
      </c>
      <c r="K18" s="46" t="inlineStr">
        <is>
          <t>Per-player AB/H/HR/RBI + IP/K/BB/ER means; prop stats show avg+range with the line marker.</t>
        </is>
      </c>
      <c r="L18" s="46" t="inlineStr">
        <is>
          <t>SIM-380, SIM-390</t>
        </is>
      </c>
      <c r="M18" s="46" t="inlineStr">
        <is>
          <t>Tier P1.</t>
        </is>
      </c>
    </row>
    <row r="19">
      <c r="A19" s="46" t="inlineStr">
        <is>
          <t>SIM-395</t>
        </is>
      </c>
      <c r="B19" s="46" t="inlineStr">
        <is>
          <t>Build betting card surface (ML/spread/total + winning-side + +EV signal)</t>
        </is>
      </c>
      <c r="C19" s="46" t="inlineStr">
        <is>
          <t>Phase 6 - Frontend Build</t>
        </is>
      </c>
      <c r="D19" s="46" t="inlineStr">
        <is>
          <t>Feature</t>
        </is>
      </c>
      <c r="E19" s="46" t="inlineStr">
        <is>
          <t>P1</t>
        </is>
      </c>
      <c r="F19" s="46" t="inlineStr">
        <is>
          <t>L</t>
        </is>
      </c>
      <c r="G19" s="46" t="inlineStr">
        <is>
          <t>UX Designer + Betting Analyst</t>
        </is>
      </c>
      <c r="H19" s="46" t="inlineStr">
        <is>
          <t>Closed</t>
        </is>
      </c>
      <c r="I19" s="46" t="inlineStr">
        <is>
          <t>No</t>
        </is>
      </c>
      <c r="J19" s="46" t="inlineStr">
        <is>
          <t>API returns edges+ranked signals but nothing renders them; must flag mock-vs-real odds.</t>
        </is>
      </c>
      <c r="K19" s="46" t="inlineStr">
        <is>
          <t>Card renders 3 two-way markets with +edge side highlighted; signal shows stake% + offered price + rank + odds_source indicator.</t>
        </is>
      </c>
      <c r="L19" s="46" t="inlineStr">
        <is>
          <t>SIM-380, SIM-390</t>
        </is>
      </c>
      <c r="M19" s="46" t="inlineStr">
        <is>
          <t>Tier P1.</t>
        </is>
      </c>
    </row>
    <row r="20">
      <c r="A20" s="46" t="inlineStr">
        <is>
          <t>SIM-396</t>
        </is>
      </c>
      <c r="B20" s="46" t="inlineStr">
        <is>
          <t>Build CLV / line-movement time-series chart</t>
        </is>
      </c>
      <c r="C20" s="46" t="inlineStr">
        <is>
          <t>Phase 6 - Frontend Build</t>
        </is>
      </c>
      <c r="D20" s="46" t="inlineStr">
        <is>
          <t>Feature</t>
        </is>
      </c>
      <c r="E20" s="46" t="inlineStr">
        <is>
          <t>P1</t>
        </is>
      </c>
      <c r="F20" s="46" t="inlineStr">
        <is>
          <t>M</t>
        </is>
      </c>
      <c r="G20" s="46" t="inlineStr">
        <is>
          <t>UX Designer + Betting Analyst</t>
        </is>
      </c>
      <c r="H20" s="46" t="inlineStr">
        <is>
          <t>Closed</t>
        </is>
      </c>
      <c r="I20" s="46" t="inlineStr">
        <is>
          <t>No</t>
        </is>
      </c>
      <c r="J20" s="46" t="inlineStr">
        <is>
          <t>/line-movement series + /clv snapshot exist but nothing plots them.</t>
        </is>
      </c>
      <c r="K20" s="46" t="inlineStr">
        <is>
          <t>Implied-prob time-series with close marked, beat_close styling, sharp+steam badges; 503 (pool absent) handled.</t>
        </is>
      </c>
      <c r="L20" s="46" t="inlineStr">
        <is>
          <t>SIM-395</t>
        </is>
      </c>
      <c r="M20" s="46" t="inlineStr">
        <is>
          <t>Tier P1.</t>
        </is>
      </c>
    </row>
    <row r="21">
      <c r="A21" s="46" t="inlineStr">
        <is>
          <t>SIM-397</t>
        </is>
      </c>
      <c r="B21" s="46" t="inlineStr">
        <is>
          <t>Managerial override UI - v1 single-sub (ships early)</t>
        </is>
      </c>
      <c r="C21" s="46" t="inlineStr">
        <is>
          <t>Phase 6 - Frontend Build</t>
        </is>
      </c>
      <c r="D21" s="46" t="inlineStr">
        <is>
          <t>Feature</t>
        </is>
      </c>
      <c r="E21" s="46" t="inlineStr">
        <is>
          <t>P1</t>
        </is>
      </c>
      <c r="F21" s="46" t="inlineStr">
        <is>
          <t>M</t>
        </is>
      </c>
      <c r="G21" s="46" t="inlineStr">
        <is>
          <t>UX Designer + Backend Developer</t>
        </is>
      </c>
      <c r="H21" s="46" t="inlineStr">
        <is>
          <t>Closed</t>
        </is>
      </c>
      <c r="I21" s="46" t="inlineStr">
        <is>
          <t>No</t>
        </is>
      </c>
      <c r="J21" s="46" t="inlineStr">
        <is>
          <t>The override is the most complex UI + the architecture driver; a single-sub v1 delivers value before the staged queue.</t>
        </is>
      </c>
      <c r="K21" s="46" t="inlineStr">
        <is>
          <t>Single substitution -&gt; one /simulate/with_override; amber override indicator; before/after compare.</t>
        </is>
      </c>
      <c r="L21" s="46" t="inlineStr">
        <is>
          <t>SIM-393</t>
        </is>
      </c>
      <c r="M21" s="46" t="inlineStr">
        <is>
          <t>Tier P1. v1 of SIM-128.</t>
        </is>
      </c>
    </row>
    <row r="22">
      <c r="A22" s="46" t="inlineStr">
        <is>
          <t>SIM-398</t>
        </is>
      </c>
      <c r="B22" s="46" t="inlineStr">
        <is>
          <t>Managerial override UI - v2 staged queue + undo + multi-change (SIM-128 build)</t>
        </is>
      </c>
      <c r="C22" s="46" t="inlineStr">
        <is>
          <t>Phase 6 - Frontend Build</t>
        </is>
      </c>
      <c r="D22" s="46" t="inlineStr">
        <is>
          <t>Feature</t>
        </is>
      </c>
      <c r="E22" s="46" t="inlineStr">
        <is>
          <t>P1</t>
        </is>
      </c>
      <c r="F22" s="46" t="inlineStr">
        <is>
          <t>L</t>
        </is>
      </c>
      <c r="G22" s="46" t="inlineStr">
        <is>
          <t>UX Designer + Backend Developer</t>
        </is>
      </c>
      <c r="H22" s="46" t="inlineStr">
        <is>
          <t>Closed</t>
        </is>
      </c>
      <c r="I22" s="46" t="inlineStr">
        <is>
          <t>No</t>
        </is>
      </c>
      <c r="J22" s="46" t="inlineStr">
        <is>
          <t>SIM-128 design exists; implementation doesn't; needs the multi-sub endpoint.</t>
        </is>
      </c>
      <c r="K22" s="46" t="inlineStr">
        <is>
          <t>Staged multi-change with remove/undo; Confirm-All -&gt; one multi-sub call; 4 amber-indicator rules; side-by-side compare.</t>
        </is>
      </c>
      <c r="L22" s="46" t="inlineStr">
        <is>
          <t>SIM-397, SIM-388</t>
        </is>
      </c>
      <c r="M22" s="46" t="inlineStr">
        <is>
          <t>Tier P1. Implements SIM-128.</t>
        </is>
      </c>
    </row>
    <row r="23">
      <c r="A23" s="46" t="inlineStr">
        <is>
          <t>SIM-399</t>
        </is>
      </c>
      <c r="B23" s="46" t="inlineStr">
        <is>
          <t>Frontend a11y + responsive/mobile + cross-browser gate</t>
        </is>
      </c>
      <c r="C23" s="46" t="inlineStr">
        <is>
          <t>Phase 6 - Frontend Build</t>
        </is>
      </c>
      <c r="D23" s="46" t="inlineStr">
        <is>
          <t>Gap</t>
        </is>
      </c>
      <c r="E23" s="46" t="inlineStr">
        <is>
          <t>P1</t>
        </is>
      </c>
      <c r="F23" s="46" t="inlineStr">
        <is>
          <t>M</t>
        </is>
      </c>
      <c r="G23" s="46" t="inlineStr">
        <is>
          <t>UX Designer + QA/DevOps</t>
        </is>
      </c>
      <c r="H23" s="46" t="inlineStr">
        <is>
          <t>Closed</t>
        </is>
      </c>
      <c r="I23" s="46" t="inlineStr">
        <is>
          <t>No</t>
        </is>
      </c>
      <c r="J23" s="46" t="inlineStr">
        <is>
          <t>No a11y/responsive/cross-browser acceptance exists; agent_team names Chrome/FF/Safari desktop+mobile.</t>
        </is>
      </c>
      <c r="K23" s="46" t="inlineStr">
        <is>
          <t>Keyboard nav + ARIA on interactive components; mobile breakpoints; Chrome/FF/Safari smoke in CI.</t>
        </is>
      </c>
      <c r="L23" s="46" t="inlineStr">
        <is>
          <t>SIM-391</t>
        </is>
      </c>
      <c r="M23" s="46" t="inlineStr">
        <is>
          <t>Tier P1.</t>
        </is>
      </c>
    </row>
    <row r="24">
      <c r="A24" s="46" t="inlineStr">
        <is>
          <t>SIM-400</t>
        </is>
      </c>
      <c r="B24" s="46" t="inlineStr">
        <is>
          <t>Cross-browser E2E harness (Playwright)</t>
        </is>
      </c>
      <c r="C24" s="46" t="inlineStr">
        <is>
          <t>Phase 6 - Frontend Build</t>
        </is>
      </c>
      <c r="D24" s="46" t="inlineStr">
        <is>
          <t>Test</t>
        </is>
      </c>
      <c r="E24" s="46" t="inlineStr">
        <is>
          <t>P1</t>
        </is>
      </c>
      <c r="F24" s="46" t="inlineStr">
        <is>
          <t>L</t>
        </is>
      </c>
      <c r="G24" s="46" t="inlineStr">
        <is>
          <t>QA/DevOps</t>
        </is>
      </c>
      <c r="H24" s="46" t="inlineStr">
        <is>
          <t>Closed</t>
        </is>
      </c>
      <c r="I24" s="46" t="inlineStr">
        <is>
          <t>No</t>
        </is>
      </c>
      <c r="J24" s="46" t="inlineStr">
        <is>
          <t>No browser-driven tests; current e2e is FastAPI TestClient only; live WS UI untested.</t>
        </is>
      </c>
      <c r="K24" s="46" t="inlineStr">
        <is>
          <t>Playwright chromium/firefox/webkit + mobile; smoke flow (load sim, linescore, WS update) in CI against the dockerized app.</t>
        </is>
      </c>
      <c r="L24" s="46" t="inlineStr">
        <is>
          <t>SIM-379</t>
        </is>
      </c>
      <c r="M24" s="46" t="inlineStr">
        <is>
          <t>Tier P1.</t>
        </is>
      </c>
    </row>
    <row r="25">
      <c r="A25" s="46" t="inlineStr">
        <is>
          <t>SIM-401</t>
        </is>
      </c>
      <c r="B25" s="46" t="inlineStr">
        <is>
          <t>Frontend deploy (static artifacts + nginx serving + CD to ghcr)</t>
        </is>
      </c>
      <c r="C25" s="46" t="inlineStr">
        <is>
          <t>Phase 6 - Frontend Build</t>
        </is>
      </c>
      <c r="D25" s="46" t="inlineStr">
        <is>
          <t>Infra</t>
        </is>
      </c>
      <c r="E25" s="46" t="inlineStr">
        <is>
          <t>P1</t>
        </is>
      </c>
      <c r="F25" s="46" t="inlineStr">
        <is>
          <t>M</t>
        </is>
      </c>
      <c r="G25" s="46" t="inlineStr">
        <is>
          <t>QA/DevOps + Backend Developer</t>
        </is>
      </c>
      <c r="H25" s="46" t="inlineStr">
        <is>
          <t>Open</t>
        </is>
      </c>
      <c r="I25" s="46" t="inlineStr">
        <is>
          <t>Yes</t>
        </is>
      </c>
      <c r="J25" s="46" t="inlineStr">
        <is>
          <t>nginx proxies all to app:8000 (no static location/SPA fallback); no frontend build stage; docker-release only pushes the API image.</t>
        </is>
      </c>
      <c r="K25" s="46" t="inlineStr">
        <is>
          <t>nginx serves built assets with SPA try_files; frontend build stage/image; docker-release pushes the frontend artifact to ghcr.</t>
        </is>
      </c>
      <c r="L25" s="46" t="inlineStr">
        <is>
          <t>SIM-381</t>
        </is>
      </c>
      <c r="M25" s="46" t="inlineStr">
        <is>
          <t>Tier P1.</t>
        </is>
      </c>
    </row>
    <row r="26">
      <c r="A26" s="46" t="inlineStr">
        <is>
          <t>SIM-402</t>
        </is>
      </c>
      <c r="B26" s="46" t="inlineStr">
        <is>
          <t>Real-DB /simulate 2s/30s SLA verification on dedicated hardware</t>
        </is>
      </c>
      <c r="C26" s="46" t="inlineStr">
        <is>
          <t>Phase 6 - Verification</t>
        </is>
      </c>
      <c r="D26" s="46" t="inlineStr">
        <is>
          <t>Perf</t>
        </is>
      </c>
      <c r="E26" s="46" t="inlineStr">
        <is>
          <t>P1</t>
        </is>
      </c>
      <c r="F26" s="46" t="inlineStr">
        <is>
          <t>M</t>
        </is>
      </c>
      <c r="G26" s="46" t="inlineStr">
        <is>
          <t>Performance Engineer + QA/DevOps</t>
        </is>
      </c>
      <c r="H26" s="46" t="inlineStr">
        <is>
          <t>Open</t>
        </is>
      </c>
      <c r="I26" s="46" t="inlineStr">
        <is>
          <t>No</t>
        </is>
      </c>
      <c r="J26" s="46" t="inlineStr">
        <is>
          <t>The SLA is asserted only over the no-DB rng factory on shared CI; bench documents it as a LOWER BOUND; real served latency unknown.</t>
        </is>
      </c>
      <c r="K26" s="46" t="inlineStr">
        <is>
          <t>Perf job with DuckDB profiles+FAISS tiles + production factory + PERF_STRICT=1; gate passes or is re-baselined on real served latency.</t>
        </is>
      </c>
      <c r="M26" s="46" t="inlineStr">
        <is>
          <t>Tier P1. Live-env debt.</t>
        </is>
      </c>
    </row>
    <row r="27">
      <c r="A27" s="46" t="inlineStr">
        <is>
          <t>SIM-403</t>
        </is>
      </c>
      <c r="B27" s="46" t="inlineStr">
        <is>
          <t>Enable real parallelism + wire shared-memory tiles into the live runner</t>
        </is>
      </c>
      <c r="C27" s="46" t="inlineStr">
        <is>
          <t>Phase 6 - Verification</t>
        </is>
      </c>
      <c r="D27" s="46" t="inlineStr">
        <is>
          <t>Perf</t>
        </is>
      </c>
      <c r="E27" s="46" t="inlineStr">
        <is>
          <t>P1</t>
        </is>
      </c>
      <c r="F27" s="46" t="inlineStr">
        <is>
          <t>M</t>
        </is>
      </c>
      <c r="G27" s="46" t="inlineStr">
        <is>
          <t>Backend Developer + Performance Engineer</t>
        </is>
      </c>
      <c r="H27" s="46" t="inlineStr">
        <is>
          <t>Open</t>
        </is>
      </c>
      <c r="I27" s="46" t="inlineStr">
        <is>
          <t>Yes</t>
        </is>
      </c>
      <c r="J27" s="46" t="inlineStr">
        <is>
          <t>SIM_RUNNER_WORKERS=1 serializes /simulate; lifespan BatchRunner built without shared_arrays= so each worker reloads ~290MB.</t>
        </is>
      </c>
      <c r="K27" s="46" t="inlineStr">
        <is>
          <t>Tune workers default; publish shared arrays into the lifespan runner; p50/p95 measured at 30 concurrent games; peak RSS asserted.</t>
        </is>
      </c>
      <c r="L27" s="46" t="inlineStr">
        <is>
          <t>SIM-402</t>
        </is>
      </c>
      <c r="M27" s="46" t="inlineStr">
        <is>
          <t>Tier P1.</t>
        </is>
      </c>
    </row>
    <row r="28">
      <c r="A28" s="46" t="inlineStr">
        <is>
          <t>SIM-404</t>
        </is>
      </c>
      <c r="B28" s="46" t="inlineStr">
        <is>
          <t>Stress / concurrency / leak suite (100 sims x 30 concurrent games)</t>
        </is>
      </c>
      <c r="C28" s="46" t="inlineStr">
        <is>
          <t>Phase 6 - Verification</t>
        </is>
      </c>
      <c r="D28" s="46" t="inlineStr">
        <is>
          <t>Test</t>
        </is>
      </c>
      <c r="E28" s="46" t="inlineStr">
        <is>
          <t>P1</t>
        </is>
      </c>
      <c r="F28" s="46" t="inlineStr">
        <is>
          <t>L</t>
        </is>
      </c>
      <c r="G28" s="46" t="inlineStr">
        <is>
          <t>QA/DevOps + Performance Engineer</t>
        </is>
      </c>
      <c r="H28" s="46" t="inlineStr">
        <is>
          <t>Open</t>
        </is>
      </c>
      <c r="I28" s="46" t="inlineStr">
        <is>
          <t>Yes</t>
        </is>
      </c>
      <c r="J28" s="46" t="inlineStr">
        <is>
          <t>No concurrency/stress/leak test exists; long-lived server risks worker/segment/FD/connection leaks + unlink races.</t>
        </is>
      </c>
      <c r="K28" s="46" t="inlineStr">
        <is>
          <t>30 concurrent games x 100 iters; stable RSS across rounds; no FD/segment leaks.</t>
        </is>
      </c>
      <c r="L28" s="46" t="inlineStr">
        <is>
          <t>SIM-403</t>
        </is>
      </c>
      <c r="M28" s="46" t="inlineStr">
        <is>
          <t>Tier P1.</t>
        </is>
      </c>
    </row>
    <row r="29">
      <c r="A29" s="46" t="inlineStr">
        <is>
          <t>SIM-405</t>
        </is>
      </c>
      <c r="B29" s="46" t="inlineStr">
        <is>
          <t>Real odds-provider implementation behind the SIM-370 seam</t>
        </is>
      </c>
      <c r="C29" s="46" t="inlineStr">
        <is>
          <t>Phase 6 - Verification</t>
        </is>
      </c>
      <c r="D29" s="46" t="inlineStr">
        <is>
          <t>Feature</t>
        </is>
      </c>
      <c r="E29" s="46" t="inlineStr">
        <is>
          <t>P1</t>
        </is>
      </c>
      <c r="F29" s="46" t="inlineStr">
        <is>
          <t>L</t>
        </is>
      </c>
      <c r="G29" s="46" t="inlineStr">
        <is>
          <t>Data Engineer + Betting Analyst</t>
        </is>
      </c>
      <c r="H29" s="46" t="inlineStr">
        <is>
          <t>Open</t>
        </is>
      </c>
      <c r="I29" s="46" t="inlineStr">
        <is>
          <t>No</t>
        </is>
      </c>
      <c r="J29" s="46" t="inlineStr">
        <is>
          <t>RealOddsAPIProvider is a stub raising _not_configured(); all UI odds/edges/CLV are deterministic mock; real CLV needs persisted opening-&gt;closing odds.</t>
        </is>
      </c>
      <c r="K29" s="46" t="inlineStr">
        <is>
          <t>Implement get_odds/get_prop_odds against a live feed in the documented shape; ODDS_PROVIDER=real populates raw.game_odds/prop_odds; mock stays test default.</t>
        </is>
      </c>
      <c r="M29" s="46" t="inlineStr">
        <is>
          <t>Tier P1. Live-env debt.</t>
        </is>
      </c>
    </row>
    <row r="30">
      <c r="A30" s="46" t="inlineStr">
        <is>
          <t>SIM-406</t>
        </is>
      </c>
      <c r="B30" s="46" t="inlineStr">
        <is>
          <t>Fit + persist a CalibrationReport over real data + apply to all engines</t>
        </is>
      </c>
      <c r="C30" s="46" t="inlineStr">
        <is>
          <t>Phase 6 - Verification</t>
        </is>
      </c>
      <c r="D30" s="46" t="inlineStr">
        <is>
          <t>Feature</t>
        </is>
      </c>
      <c r="E30" s="46" t="inlineStr">
        <is>
          <t>P1</t>
        </is>
      </c>
      <c r="F30" s="46" t="inlineStr">
        <is>
          <t>L</t>
        </is>
      </c>
      <c r="G30" s="46" t="inlineStr">
        <is>
          <t>ML Engineer</t>
        </is>
      </c>
      <c r="H30" s="46" t="inlineStr">
        <is>
          <t>Open</t>
        </is>
      </c>
      <c r="I30" s="46" t="inlineStr">
        <is>
          <t>Yes</t>
        </is>
      </c>
      <c r="J30" s="46" t="inlineStr">
        <is>
          <t>Nothing fits Tier-1/2 + the reliability curve over real outcomes or persists it; apply_calibration only exists on the pitcher engine.</t>
        </is>
      </c>
      <c r="K30" s="46" t="inlineStr">
        <is>
          <t>CLI fits over seasons -&gt; to_json at CALIBRATION_REPORT_PATH; build_all_engines applies it; ECE/Brier logged.</t>
        </is>
      </c>
      <c r="L30" s="46" t="inlineStr">
        <is>
          <t>SIM-408</t>
        </is>
      </c>
      <c r="M30" s="46" t="inlineStr">
        <is>
          <t>Tier P1. SIM-220 debt.</t>
        </is>
      </c>
    </row>
    <row r="31">
      <c r="A31" s="46" t="inlineStr">
        <is>
          <t>SIM-407</t>
        </is>
      </c>
      <c r="B31" s="46" t="inlineStr">
        <is>
          <t>Validate prop PMFs + run ablation/walk-forward over real outcomes</t>
        </is>
      </c>
      <c r="C31" s="46" t="inlineStr">
        <is>
          <t>Phase 6 - Verification</t>
        </is>
      </c>
      <c r="D31" s="46" t="inlineStr">
        <is>
          <t>Validation</t>
        </is>
      </c>
      <c r="E31" s="46" t="inlineStr">
        <is>
          <t>P1</t>
        </is>
      </c>
      <c r="F31" s="46" t="inlineStr">
        <is>
          <t>M</t>
        </is>
      </c>
      <c r="G31" s="46" t="inlineStr">
        <is>
          <t>ML Engineer + Betting Analyst</t>
        </is>
      </c>
      <c r="H31" s="46" t="inlineStr">
        <is>
          <t>Open</t>
        </is>
      </c>
      <c r="I31" s="46" t="inlineStr">
        <is>
          <t>Yes</t>
        </is>
      </c>
      <c r="J31" s="46" t="inlineStr">
        <is>
          <t>Prop PMFs have no calibration seam/backtest; ablation+walk-forward are synthetic-only; users would see uncalibrated p_over.</t>
        </is>
      </c>
      <c r="K31" s="46" t="inlineStr">
        <is>
          <t>Per-prop reliability/coverage backtest; ablation Brier/log-loss deltas over real PA outcomes; ECE thresholds gate exposure.</t>
        </is>
      </c>
      <c r="L31" s="46" t="inlineStr">
        <is>
          <t>SIM-406</t>
        </is>
      </c>
      <c r="M31" s="46" t="inlineStr">
        <is>
          <t>Tier P1.</t>
        </is>
      </c>
    </row>
    <row r="32">
      <c r="A32" s="46" t="inlineStr">
        <is>
          <t>SIM-408</t>
        </is>
      </c>
      <c r="B32" s="46" t="inlineStr">
        <is>
          <t>DuckDB profile/pool build + provisioning for the 11-engine startup</t>
        </is>
      </c>
      <c r="C32" s="46" t="inlineStr">
        <is>
          <t>Phase 6 - Verification</t>
        </is>
      </c>
      <c r="D32" s="46" t="inlineStr">
        <is>
          <t>Infra</t>
        </is>
      </c>
      <c r="E32" s="46" t="inlineStr">
        <is>
          <t>P1</t>
        </is>
      </c>
      <c r="F32" s="46" t="inlineStr">
        <is>
          <t>M</t>
        </is>
      </c>
      <c r="G32" s="46" t="inlineStr">
        <is>
          <t>Data Engineer</t>
        </is>
      </c>
      <c r="H32" s="46" t="inlineStr">
        <is>
          <t>Open</t>
        </is>
      </c>
      <c r="I32" s="46" t="inlineStr">
        <is>
          <t>No</t>
        </is>
      </c>
      <c r="J32" s="46" t="inlineStr">
        <is>
          <t>Engines need populated derived.*/sim.*_pool; PlayerProfileComputor builds them but a populated DuckDB isn't provisioned; partial builds serve degraded similarity silently.</t>
        </is>
      </c>
      <c r="K32" s="46" t="inlineStr">
        <is>
          <t>Documented build run producing all profile/pool tables for target seasons; /health/ready reports built-engine set + required list.</t>
        </is>
      </c>
      <c r="M32" s="46" t="inlineStr">
        <is>
          <t>Tier P1. Live-env debt.</t>
        </is>
      </c>
    </row>
    <row r="33">
      <c r="A33" s="46" t="inlineStr">
        <is>
          <t>SIM-409</t>
        </is>
      </c>
      <c r="B33" s="46" t="inlineStr">
        <is>
          <t>Lineup ingestion guarantee for scheduled games (SIM-338 lineage)</t>
        </is>
      </c>
      <c r="C33" s="46" t="inlineStr">
        <is>
          <t>Phase 6 - Verification</t>
        </is>
      </c>
      <c r="D33" s="46" t="inlineStr">
        <is>
          <t>Bug</t>
        </is>
      </c>
      <c r="E33" s="46" t="inlineStr">
        <is>
          <t>P1</t>
        </is>
      </c>
      <c r="F33" s="46" t="inlineStr">
        <is>
          <t>M</t>
        </is>
      </c>
      <c r="G33" s="46" t="inlineStr">
        <is>
          <t>Data Engineer + Backend Developer</t>
        </is>
      </c>
      <c r="H33" s="46" t="inlineStr">
        <is>
          <t>Open</t>
        </is>
      </c>
      <c r="I33" s="46" t="inlineStr">
        <is>
          <t>Yes</t>
        </is>
      </c>
      <c r="J33" s="46" t="inlineStr">
        <is>
          <t>resolve_lineup raises when raw.game_lineups is empty; not-yet-started games have no resolvable lineup so the field graphic is blank / sim 500s.</t>
        </is>
      </c>
      <c r="K33" s="46" t="inlineStr">
        <is>
          <t>Scheduled-game sim/card requests get a probable/projected lineup or a clean typed 422 the UI renders.</t>
        </is>
      </c>
      <c r="L33" s="46" t="inlineStr">
        <is>
          <t>SIM-386</t>
        </is>
      </c>
      <c r="M33" s="46" t="inlineStr">
        <is>
          <t>Tier P1.</t>
        </is>
      </c>
    </row>
    <row r="34">
      <c r="A34" s="46" t="inlineStr">
        <is>
          <t>SIM-410</t>
        </is>
      </c>
      <c r="B34" s="46" t="inlineStr">
        <is>
          <t>Wire the API p95 timing middleware</t>
        </is>
      </c>
      <c r="C34" s="46" t="inlineStr">
        <is>
          <t>Phase 6 - Verification</t>
        </is>
      </c>
      <c r="D34" s="46" t="inlineStr">
        <is>
          <t>Improvement</t>
        </is>
      </c>
      <c r="E34" s="46" t="inlineStr">
        <is>
          <t>P1</t>
        </is>
      </c>
      <c r="F34" s="46" t="inlineStr">
        <is>
          <t>S</t>
        </is>
      </c>
      <c r="G34" s="46" t="inlineStr">
        <is>
          <t>Backend Developer + QA/DevOps</t>
        </is>
      </c>
      <c r="H34" s="46" t="inlineStr">
        <is>
          <t>Closed</t>
        </is>
      </c>
      <c r="I34" s="46" t="inlineStr">
        <is>
          <t>No</t>
        </is>
      </c>
      <c r="J34" s="46" t="inlineStr">
        <is>
          <t>The metrics.py p95 gauge is a PLACEHOLDER never populated; only CORS+RateLimit middleware exist so the Grafana panel reads 0.</t>
        </is>
      </c>
      <c r="K34" s="46" t="inlineStr">
        <is>
          <t>ASGI timing middleware feeds app.state.api_p95_seconds; gauge non-zero under load; dashboard verified.</t>
        </is>
      </c>
      <c r="M34" s="46" t="inlineStr">
        <is>
          <t>Tier P1.</t>
        </is>
      </c>
    </row>
    <row r="35">
      <c r="A35" s="46" t="inlineStr">
        <is>
          <t>SIM-411</t>
        </is>
      </c>
      <c r="B35" s="46" t="inlineStr">
        <is>
          <t>Park factor into the run environment</t>
        </is>
      </c>
      <c r="C35" s="46" t="inlineStr">
        <is>
          <t>Phase 6 - Realism</t>
        </is>
      </c>
      <c r="D35" s="46" t="inlineStr">
        <is>
          <t>Improvement</t>
        </is>
      </c>
      <c r="E35" s="46" t="inlineStr">
        <is>
          <t>P2</t>
        </is>
      </c>
      <c r="F35" s="46" t="inlineStr">
        <is>
          <t>L</t>
        </is>
      </c>
      <c r="G35" s="46" t="inlineStr">
        <is>
          <t>Baseball Analyst + ML Engineer + Data Engineer</t>
        </is>
      </c>
      <c r="H35" s="46" t="inlineStr">
        <is>
          <t>Open</t>
        </is>
      </c>
      <c r="I35" s="46" t="inlineStr">
        <is>
          <t>No</t>
        </is>
      </c>
      <c r="J35" s="46" t="inlineStr">
        <is>
          <t>GameState.park is a DEAD field, never read in sim_loop/fingerprints; Coors vs Petco give identical distributions, a user-visible hole.</t>
        </is>
      </c>
      <c r="K35" s="46" t="inlineStr">
        <is>
          <t>Park enters batted-ball centroid/scaling; the score distribution shifts measurably between extreme parks.</t>
        </is>
      </c>
      <c r="M35" s="46" t="inlineStr">
        <is>
          <t>Tier P2.</t>
        </is>
      </c>
    </row>
    <row r="36">
      <c r="A36" s="46" t="inlineStr">
        <is>
          <t>SIM-412</t>
        </is>
      </c>
      <c r="B36" s="46" t="inlineStr">
        <is>
          <t>Home-field run advantage in the score distribution</t>
        </is>
      </c>
      <c r="C36" s="46" t="inlineStr">
        <is>
          <t>Phase 6 - Realism</t>
        </is>
      </c>
      <c r="D36" s="46" t="inlineStr">
        <is>
          <t>Improvement</t>
        </is>
      </c>
      <c r="E36" s="46" t="inlineStr">
        <is>
          <t>P2</t>
        </is>
      </c>
      <c r="F36" s="46" t="inlineStr">
        <is>
          <t>M</t>
        </is>
      </c>
      <c r="G36" s="46" t="inlineStr">
        <is>
          <t>Baseball Analyst</t>
        </is>
      </c>
      <c r="H36" s="46" t="inlineStr">
        <is>
          <t>Open</t>
        </is>
      </c>
      <c r="I36" s="46" t="inlineStr">
        <is>
          <t>Yes</t>
        </is>
      </c>
      <c r="J36" s="46" t="inlineStr">
        <is>
          <t>Only structural last-AB/walk-off rules exist; no run-environment home edge; aggregate home_win_pct won't hit the empirical ~.535-.540.</t>
        </is>
      </c>
      <c r="K36" s="46" t="inlineStr">
        <is>
          <t>home_win_pct over a neutral matchup ~ .535-.540, validated by a sniff test.</t>
        </is>
      </c>
      <c r="L36" s="46" t="inlineStr">
        <is>
          <t>SIM-411</t>
        </is>
      </c>
      <c r="M36" s="46" t="inlineStr">
        <is>
          <t>Tier P2.</t>
        </is>
      </c>
    </row>
    <row r="37">
      <c r="A37" s="46" t="inlineStr">
        <is>
          <t>SIM-413</t>
        </is>
      </c>
      <c r="B37" s="46" t="inlineStr">
        <is>
          <t>Pitcher throwing-hand -&gt; batter platoon split in the batted-ball matchup</t>
        </is>
      </c>
      <c r="C37" s="46" t="inlineStr">
        <is>
          <t>Phase 6 - Realism</t>
        </is>
      </c>
      <c r="D37" s="46" t="inlineStr">
        <is>
          <t>Improvement</t>
        </is>
      </c>
      <c r="E37" s="46" t="inlineStr">
        <is>
          <t>P2</t>
        </is>
      </c>
      <c r="F37" s="46" t="inlineStr">
        <is>
          <t>M</t>
        </is>
      </c>
      <c r="G37" s="46" t="inlineStr">
        <is>
          <t>Baseball Analyst + ML Engineer</t>
        </is>
      </c>
      <c r="H37" s="46" t="inlineStr">
        <is>
          <t>Open</t>
        </is>
      </c>
      <c r="I37" s="46" t="inlineStr">
        <is>
          <t>No</t>
        </is>
      </c>
      <c r="J37" s="46" t="inlineStr">
        <is>
          <t>The batter engine has vs-LHP/RHP platoon machinery but the loop fingerprint keys on bat_hand only; pitcher hand never selects the split.</t>
        </is>
      </c>
      <c r="K37" s="46" t="inlineStr">
        <is>
          <t>Same-hand matchups depress contact quality vs opposite-hand per the platoon split.</t>
        </is>
      </c>
      <c r="M37" s="46" t="inlineStr">
        <is>
          <t>Tier P2.</t>
        </is>
      </c>
    </row>
    <row r="38">
      <c r="A38" s="46" t="inlineStr">
        <is>
          <t>SIM-414</t>
        </is>
      </c>
      <c r="B38" s="46" t="inlineStr">
        <is>
          <t>W/L/S + ER + per-runner R cross-surface reconciliation</t>
        </is>
      </c>
      <c r="C38" s="46" t="inlineStr">
        <is>
          <t>Phase 6 - Realism</t>
        </is>
      </c>
      <c r="D38" s="46" t="inlineStr">
        <is>
          <t>Bug</t>
        </is>
      </c>
      <c r="E38" s="46" t="inlineStr">
        <is>
          <t>P2</t>
        </is>
      </c>
      <c r="F38" s="46" t="inlineStr">
        <is>
          <t>M</t>
        </is>
      </c>
      <c r="G38" s="46" t="inlineStr">
        <is>
          <t>Baseball Analyst + Backend Developer</t>
        </is>
      </c>
      <c r="H38" s="46" t="inlineStr">
        <is>
          <t>Open</t>
        </is>
      </c>
      <c r="I38" s="46" t="inlineStr">
        <is>
          <t>Yes</t>
        </is>
      </c>
      <c r="J38" s="46" t="inlineStr">
        <is>
          <t>Decisions omit the 5-IP starter-win + 3-inning save rules; the per-play is_error ER proxy under-counts unearned; per-runner R misses walk-forced runs.</t>
        </is>
      </c>
      <c r="K38" s="46" t="inlineStr">
        <is>
          <t>Starter-win minimum + save clause; ER/unearned reconciled; sum(player R) == team linescore R.</t>
        </is>
      </c>
      <c r="L38" s="46" t="inlineStr">
        <is>
          <t>SIM-384</t>
        </is>
      </c>
      <c r="M38" s="46" t="inlineStr">
        <is>
          <t>Tier P2.</t>
        </is>
      </c>
    </row>
    <row r="39">
      <c r="A39" s="46" t="inlineStr">
        <is>
          <t>SIM-415</t>
        </is>
      </c>
      <c r="B39" s="46" t="inlineStr">
        <is>
          <t>Pagination / payload-trim for heavy endpoints</t>
        </is>
      </c>
      <c r="C39" s="46" t="inlineStr">
        <is>
          <t>Phase 6 - Hardening</t>
        </is>
      </c>
      <c r="D39" s="46" t="inlineStr">
        <is>
          <t>Improvement</t>
        </is>
      </c>
      <c r="E39" s="46" t="inlineStr">
        <is>
          <t>P2</t>
        </is>
      </c>
      <c r="F39" s="46" t="inlineStr">
        <is>
          <t>M</t>
        </is>
      </c>
      <c r="G39" s="46" t="inlineStr">
        <is>
          <t>Backend Developer</t>
        </is>
      </c>
      <c r="H39" s="46" t="inlineStr">
        <is>
          <t>Open</t>
        </is>
      </c>
      <c r="I39" s="46" t="inlineStr">
        <is>
          <t>No</t>
        </is>
      </c>
      <c r="J39" s="46" t="inlineStr">
        <is>
          <t>/plays returns the full pitch scroll unpaged; GameSimSummaryModel ships raw N-length score arrays by default -&gt; multi-MB browser payloads.</t>
        </is>
      </c>
      <c r="K39" s="46" t="inlineStr">
        <is>
          <t>limit/offset (or cursor) on /plays + listing; /simulate defaults to Lite / include_raw_arrays=False.</t>
        </is>
      </c>
      <c r="M39" s="46" t="inlineStr">
        <is>
          <t>Tier P2.</t>
        </is>
      </c>
    </row>
    <row r="40">
      <c r="A40" s="46" t="inlineStr">
        <is>
          <t>SIM-416</t>
        </is>
      </c>
      <c r="B40" s="46" t="inlineStr">
        <is>
          <t>App-level exception handler + structured error envelope</t>
        </is>
      </c>
      <c r="C40" s="46" t="inlineStr">
        <is>
          <t>Phase 6 - Hardening</t>
        </is>
      </c>
      <c r="D40" s="46" t="inlineStr">
        <is>
          <t>Improvement</t>
        </is>
      </c>
      <c r="E40" s="46" t="inlineStr">
        <is>
          <t>P2</t>
        </is>
      </c>
      <c r="F40" s="46" t="inlineStr">
        <is>
          <t>S</t>
        </is>
      </c>
      <c r="G40" s="46" t="inlineStr">
        <is>
          <t>Backend Developer</t>
        </is>
      </c>
      <c r="H40" s="46" t="inlineStr">
        <is>
          <t>Open</t>
        </is>
      </c>
      <c r="I40" s="46" t="inlineStr">
        <is>
          <t>No</t>
        </is>
      </c>
      <c r="J40" s="46" t="inlineStr">
        <is>
          <t>No add_exception_handler anywhere; unhandled errors leak raw 500s; no {error,code} envelope for the FE.</t>
        </is>
      </c>
      <c r="K40" s="46" t="inlineStr">
        <is>
          <t>App handler returns a uniform error shape; map 503/404/422 consistently.</t>
        </is>
      </c>
      <c r="M40" s="46" t="inlineStr">
        <is>
          <t>Tier P2.</t>
        </is>
      </c>
    </row>
    <row r="41">
      <c r="A41" s="46" t="inlineStr">
        <is>
          <t>SIM-417</t>
        </is>
      </c>
      <c r="B41" s="46" t="inlineStr">
        <is>
          <t>Data-freshness/health API surface for the UI</t>
        </is>
      </c>
      <c r="C41" s="46" t="inlineStr">
        <is>
          <t>Phase 6 - Hardening</t>
        </is>
      </c>
      <c r="D41" s="46" t="inlineStr">
        <is>
          <t>Feature</t>
        </is>
      </c>
      <c r="E41" s="46" t="inlineStr">
        <is>
          <t>P2</t>
        </is>
      </c>
      <c r="F41" s="46" t="inlineStr">
        <is>
          <t>S</t>
        </is>
      </c>
      <c r="G41" s="46" t="inlineStr">
        <is>
          <t>Data Engineer</t>
        </is>
      </c>
      <c r="H41" s="46" t="inlineStr">
        <is>
          <t>Open</t>
        </is>
      </c>
      <c r="I41" s="46" t="inlineStr">
        <is>
          <t>No</t>
        </is>
      </c>
      <c r="J41" s="46" t="inlineStr">
        <is>
          <t>Freshness/error tables exist but no endpoint exposes staleness so the UI can't warn 'profiles stale' / NULL venue.</t>
        </is>
      </c>
      <c r="K41" s="46" t="inlineStr">
        <is>
          <t>Endpoint summarizes last-load per entity + NULL-venue count + recent ETL errors.</t>
        </is>
      </c>
      <c r="M41" s="46" t="inlineStr">
        <is>
          <t>Tier P2.</t>
        </is>
      </c>
    </row>
    <row r="42">
      <c r="A42" s="46" t="inlineStr">
        <is>
          <t>SIM-418</t>
        </is>
      </c>
      <c r="B42" s="46" t="inlineStr">
        <is>
          <t>Split slow tests into a dedicated CI lane</t>
        </is>
      </c>
      <c r="C42" s="46" t="inlineStr">
        <is>
          <t>Phase 6 - Hardening</t>
        </is>
      </c>
      <c r="D42" s="46" t="inlineStr">
        <is>
          <t>Chore</t>
        </is>
      </c>
      <c r="E42" s="46" t="inlineStr">
        <is>
          <t>P2</t>
        </is>
      </c>
      <c r="F42" s="46" t="inlineStr">
        <is>
          <t>S</t>
        </is>
      </c>
      <c r="G42" s="46" t="inlineStr">
        <is>
          <t>QA/DevOps</t>
        </is>
      </c>
      <c r="H42" s="46" t="inlineStr">
        <is>
          <t>Open</t>
        </is>
      </c>
      <c r="I42" s="46" t="inlineStr">
        <is>
          <t>No</t>
        </is>
      </c>
      <c r="J42" s="46" t="inlineStr">
        <is>
          <t>~15-16 @pytest.mark.slow tests run in the default unit lane at --timeout=30 (coverage-timeout flake risk).</t>
        </is>
      </c>
      <c r="K42" s="46" t="inlineStr">
        <is>
          <t>Unit lane runs -m 'not slow'; a parallel slow-tests job uses a higher timeout; wall-clock unchanged.</t>
        </is>
      </c>
      <c r="M42" s="46" t="inlineStr">
        <is>
          <t>Tier P2.</t>
        </is>
      </c>
    </row>
    <row r="43">
      <c r="A43" s="46" t="inlineStr">
        <is>
          <t>SIM-419</t>
        </is>
      </c>
      <c r="B43" s="46" t="inlineStr">
        <is>
          <t>Harden DuckDB profile-rebuild index recreate</t>
        </is>
      </c>
      <c r="C43" s="46" t="inlineStr">
        <is>
          <t>Phase 6 - Hardening</t>
        </is>
      </c>
      <c r="D43" s="46" t="inlineStr">
        <is>
          <t>Reliability</t>
        </is>
      </c>
      <c r="E43" s="46" t="inlineStr">
        <is>
          <t>P2</t>
        </is>
      </c>
      <c r="F43" s="46" t="inlineStr">
        <is>
          <t>S</t>
        </is>
      </c>
      <c r="G43" s="46" t="inlineStr">
        <is>
          <t>Data Engineer</t>
        </is>
      </c>
      <c r="H43" s="46" t="inlineStr">
        <is>
          <t>Open</t>
        </is>
      </c>
      <c r="I43" s="46" t="inlineStr">
        <is>
          <t>No</t>
        </is>
      </c>
      <c r="J43" s="46" t="inlineStr">
        <is>
          <t>player_profile_computor only WARNS on a failed index recreate after the ART-on-DELETE workaround -&gt; silent index loss degrading engine-build perf.</t>
        </is>
      </c>
      <c r="K43" s="46" t="inlineStr">
        <is>
          <t>Failed recreate fails the build or is post-run verified.</t>
        </is>
      </c>
      <c r="M43" s="46" t="inlineStr">
        <is>
          <t>Tier P2.</t>
        </is>
      </c>
    </row>
    <row r="44">
      <c r="A44" s="46" t="inlineStr">
        <is>
          <t>SIM-420</t>
        </is>
      </c>
      <c r="B44" s="46" t="inlineStr">
        <is>
          <t>OpenAPI typed-client generation for the frontend</t>
        </is>
      </c>
      <c r="C44" s="46" t="inlineStr">
        <is>
          <t>Phase 6 - Hardening</t>
        </is>
      </c>
      <c r="D44" s="46" t="inlineStr">
        <is>
          <t>Improvement</t>
        </is>
      </c>
      <c r="E44" s="46" t="inlineStr">
        <is>
          <t>P2</t>
        </is>
      </c>
      <c r="F44" s="46" t="inlineStr">
        <is>
          <t>S</t>
        </is>
      </c>
      <c r="G44" s="46" t="inlineStr">
        <is>
          <t>Backend Developer + QA/DevOps</t>
        </is>
      </c>
      <c r="H44" s="46" t="inlineStr">
        <is>
          <t>Open</t>
        </is>
      </c>
      <c r="I44" s="46" t="inlineStr">
        <is>
          <t>Yes</t>
        </is>
      </c>
      <c r="J44" s="46" t="inlineStr">
        <is>
          <t>FastAPI emits /openapi.json but WS events + new aggregates aren't in it; the FE would hand-write types.</t>
        </is>
      </c>
      <c r="K44" s="46" t="inlineStr">
        <is>
          <t>CI generates a TS client from OpenAPI (+WS types); a published artifact the FE imports.</t>
        </is>
      </c>
      <c r="L44" s="46" t="inlineStr">
        <is>
          <t>SIM-383, SIM-385</t>
        </is>
      </c>
      <c r="M44" s="46" t="inlineStr">
        <is>
          <t>Tier P2.</t>
        </is>
      </c>
    </row>
  </sheetData>
  <autoFilter ref="A1:M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2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SIM-152</t>
        </is>
      </c>
      <c r="B2" s="84" t="inlineStr">
        <is>
          <t>Create tests/conftest.py with shared fixtures — eliminate 3× duplicated profile builders</t>
        </is>
      </c>
      <c r="C2" s="84" t="inlineStr">
        <is>
          <t>Testing</t>
        </is>
      </c>
      <c r="D2" s="84" t="inlineStr">
        <is>
          <t>Improvement</t>
        </is>
      </c>
      <c r="E2" s="88" t="inlineStr">
        <is>
          <t>P2</t>
        </is>
      </c>
      <c r="F2" s="84" t="inlineStr">
        <is>
          <t>S (1–2 days)</t>
        </is>
      </c>
      <c r="G2" s="84" t="inlineStr">
        <is>
          <t>QA/DevOps</t>
        </is>
      </c>
      <c r="H2" s="87" t="inlineStr">
        <is>
          <t>Open</t>
        </is>
      </c>
      <c r="I2" s="84" t="inlineStr">
        <is>
          <t>No</t>
        </is>
      </c>
      <c r="J2"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2"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2" s="84" t="inlineStr">
        <is>
          <t>SIM-147 (pyproject.toml), SIM-071 (import paths)</t>
        </is>
      </c>
      <c r="M2" s="84" t="inlineStr">
        <is>
          <t>Maintenance improvement — the pattern is correct, it just needs to be centralized.</t>
        </is>
      </c>
    </row>
    <row r="3" ht="113.25" customHeight="1" s="47">
      <c r="A3" s="84" t="inlineStr">
        <is>
          <t>SIM-154</t>
        </is>
      </c>
      <c r="B3" s="84" t="inlineStr">
        <is>
          <t>Add model regression gate to CI — run diagnostics on every PR; fail on calibration drift</t>
        </is>
      </c>
      <c r="C3" s="84" t="inlineStr">
        <is>
          <t>Testing</t>
        </is>
      </c>
      <c r="D3" s="84" t="inlineStr">
        <is>
          <t>Gap</t>
        </is>
      </c>
      <c r="E3" s="85" t="inlineStr">
        <is>
          <t>P1</t>
        </is>
      </c>
      <c r="F3" s="84" t="inlineStr">
        <is>
          <t>S (1–2 days)</t>
        </is>
      </c>
      <c r="G3" s="84" t="inlineStr">
        <is>
          <t>QA/DevOps</t>
        </is>
      </c>
      <c r="H3" s="87" t="inlineStr">
        <is>
          <t>Open</t>
        </is>
      </c>
      <c r="I3" s="84" t="inlineStr">
        <is>
          <t>No</t>
        </is>
      </c>
      <c r="J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3" s="84" t="inlineStr">
        <is>
          <t>SIM-050 (fielder diagnostics merged), SIM-146 (CI exists), SIM-147 (pytest config)</t>
        </is>
      </c>
      <c r="M3" s="84" t="inlineStr">
        <is>
          <t>Prevents the most expensive class of bugs — silent calibration drift from engine changes.</t>
        </is>
      </c>
    </row>
    <row r="4" ht="157.5" customHeight="1" s="47">
      <c r="A4" s="84" t="inlineStr">
        <is>
          <t>SIM-130</t>
        </is>
      </c>
      <c r="B4" s="84" t="inlineStr">
        <is>
          <t>Spec additions for Day Summary page: card lineup collapse, field graphic label rules, date navigation zones</t>
        </is>
      </c>
      <c r="C4" s="84" t="inlineStr">
        <is>
          <t>Frontend</t>
        </is>
      </c>
      <c r="D4" s="84" t="inlineStr">
        <is>
          <t>Bug</t>
        </is>
      </c>
      <c r="E4" s="85" t="inlineStr">
        <is>
          <t>P1</t>
        </is>
      </c>
      <c r="F4" s="84" t="inlineStr">
        <is>
          <t>M (3–5 days)</t>
        </is>
      </c>
      <c r="G4" s="84" t="inlineStr">
        <is>
          <t>UX Designer</t>
        </is>
      </c>
      <c r="H4" s="87" t="inlineStr">
        <is>
          <t>Open</t>
        </is>
      </c>
      <c r="I4" s="84" t="inlineStr">
        <is>
          <t>No</t>
        </is>
      </c>
      <c r="J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4" s="84" t="inlineStr">
        <is>
          <t>SIM-125 (mobile wireframes), SIM-126 (Game Page layout)</t>
        </is>
      </c>
      <c r="M4" s="84" t="inlineStr">
        <is>
          <t>Spec additions for Phase 6 Steps 6.2 and 6.3 — required before those steps begin implementation.</t>
        </is>
      </c>
    </row>
    <row r="5" ht="124.5" customHeight="1" s="47">
      <c r="A5" s="84" t="inlineStr">
        <is>
          <t>SIM-142</t>
        </is>
      </c>
      <c r="B5" s="84" t="inlineStr">
        <is>
          <t>Spec live betting edge detection — live line ingestion, live edge threshold, WS signal delivery</t>
        </is>
      </c>
      <c r="C5" s="84" t="inlineStr">
        <is>
          <t>Betting Infrastructure</t>
        </is>
      </c>
      <c r="D5" s="84" t="inlineStr">
        <is>
          <t>Gap</t>
        </is>
      </c>
      <c r="E5" s="88" t="inlineStr">
        <is>
          <t>P2</t>
        </is>
      </c>
      <c r="F5" s="84" t="inlineStr">
        <is>
          <t>S (1–2 days)</t>
        </is>
      </c>
      <c r="G5" s="84" t="inlineStr">
        <is>
          <t>Betting Analyst</t>
        </is>
      </c>
      <c r="H5" s="87" t="inlineStr">
        <is>
          <t>Open</t>
        </is>
      </c>
      <c r="I5" s="84" t="inlineStr">
        <is>
          <t>No</t>
        </is>
      </c>
      <c r="J5" s="84" t="inlineStr">
        <is>
          <t>The live simulation (post-PA resim) is uniquely positioned to identify mispriced live lines immediately after significant plays before books adjust. This ticket produces a written spec — not implemented code. Implementation is Phase 7.</t>
        </is>
      </c>
      <c r="K5"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5" s="84" t="inlineStr">
        <is>
          <t>SIM-136 (pre-game CLV must be validated before live edge is attempted)</t>
        </is>
      </c>
      <c r="M5" s="84" t="inlineStr">
        <is>
          <t>Spec only for Phase 7. Live betting is lower priority than validating pre-game edge first.</t>
        </is>
      </c>
    </row>
    <row r="6" ht="135.75" customHeight="1" s="47">
      <c r="A6" s="84" t="inlineStr">
        <is>
          <t>SIM-143</t>
        </is>
      </c>
      <c r="B6" s="84" t="inlineStr">
        <is>
          <t>CLV dashboard API endpoint: GET /api/betting/clv/summary with segment breakdown</t>
        </is>
      </c>
      <c r="C6" s="84" t="inlineStr">
        <is>
          <t>Betting Infrastructure</t>
        </is>
      </c>
      <c r="D6" s="84" t="inlineStr">
        <is>
          <t>Feature</t>
        </is>
      </c>
      <c r="E6" s="85" t="inlineStr">
        <is>
          <t>P1</t>
        </is>
      </c>
      <c r="F6" s="84" t="inlineStr">
        <is>
          <t>M (3–5 days)</t>
        </is>
      </c>
      <c r="G6" s="84" t="inlineStr">
        <is>
          <t>Backend Developer + Betting Analyst</t>
        </is>
      </c>
      <c r="H6" s="87" t="inlineStr">
        <is>
          <t>Open</t>
        </is>
      </c>
      <c r="I6" s="84" t="inlineStr">
        <is>
          <t>No</t>
        </is>
      </c>
      <c r="J6"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6"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6" s="84" t="inlineStr">
        <is>
          <t>SIM-135 (bet_log table), SIM-136 (CLV computation), SIM-109 (API structure)</t>
        </is>
      </c>
      <c r="M6" s="84" t="inlineStr">
        <is>
          <t>This endpoint makes CLV measurable operationally, not just in backtesting.</t>
        </is>
      </c>
    </row>
    <row r="7" ht="191.25" customHeight="1" s="47">
      <c r="A7" s="84" t="inlineStr">
        <is>
          <t>SIM-107</t>
        </is>
      </c>
      <c r="B7" s="84" t="inlineStr">
        <is>
          <t>Create tests/unit/test_live_ingestion_pipeline.py — 7 BE bugs, 0% coverage</t>
        </is>
      </c>
      <c r="C7" s="84" t="inlineStr">
        <is>
          <t>Testing</t>
        </is>
      </c>
      <c r="D7" s="84" t="inlineStr">
        <is>
          <t>Bug</t>
        </is>
      </c>
      <c r="E7" s="85" t="inlineStr">
        <is>
          <t>P1</t>
        </is>
      </c>
      <c r="F7" s="84" t="inlineStr">
        <is>
          <t>M (3–5 days)</t>
        </is>
      </c>
      <c r="G7" s="84" t="inlineStr">
        <is>
          <t>Backend Developer + QA/DevOps</t>
        </is>
      </c>
      <c r="H7" s="87" t="inlineStr">
        <is>
          <t>Open</t>
        </is>
      </c>
      <c r="I7" s="84" t="inlineStr">
        <is>
          <t>No</t>
        </is>
      </c>
      <c r="J7"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7"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7" s="84" t="inlineStr">
        <is>
          <t>SIM-099, SIM-100, SIM-101, SIM-102, SIM-103 (bugs fixed first), SIM-152 (conftest)</t>
        </is>
      </c>
      <c r="M7" s="84" t="inlineStr">
        <is>
          <t>Most complex component in Phase 2 scope with zero coverage — highest testing priority.</t>
        </is>
      </c>
    </row>
    <row r="8" ht="191.25" customHeight="1" s="47">
      <c r="A8" s="84" t="inlineStr">
        <is>
          <t>SIM-141</t>
        </is>
      </c>
      <c r="B8" s="84" t="inlineStr">
        <is>
          <t>Create betting/vig_removal.py — define multiplicative vig removal as the platform standard</t>
        </is>
      </c>
      <c r="C8" s="84" t="inlineStr">
        <is>
          <t>Betting Infrastructure</t>
        </is>
      </c>
      <c r="D8" s="84" t="inlineStr">
        <is>
          <t>Gap</t>
        </is>
      </c>
      <c r="E8" s="85" t="inlineStr">
        <is>
          <t>P1</t>
        </is>
      </c>
      <c r="F8" s="84" t="inlineStr">
        <is>
          <t>S (&lt; 1 day)</t>
        </is>
      </c>
      <c r="G8" s="84" t="inlineStr">
        <is>
          <t>Betting Analyst + Backend Developer</t>
        </is>
      </c>
      <c r="H8" s="87" t="inlineStr">
        <is>
          <t>Open</t>
        </is>
      </c>
      <c r="I8" s="84" t="inlineStr">
        <is>
          <t>No</t>
        </is>
      </c>
      <c r="J8"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 s="84" t="inlineStr">
        <is>
          <t>None</t>
        </is>
      </c>
      <c r="M8" s="84" t="inlineStr">
        <is>
          <t>Foundational utility — must exist before CLV framework (SIM-136) or edge fields (SIM-112) are implemented.</t>
        </is>
      </c>
    </row>
    <row r="9" ht="157.5" customHeight="1" s="47">
      <c r="A9" s="84" t="inlineStr">
        <is>
          <t>SIM-139</t>
        </is>
      </c>
      <c r="B9" s="84" t="inlineStr">
        <is>
          <t>Define real odds integration spec: provider, cadence, multi-book hierarchy, prop timing</t>
        </is>
      </c>
      <c r="C9" s="84" t="inlineStr">
        <is>
          <t>Betting Infrastructure</t>
        </is>
      </c>
      <c r="D9" s="84" t="inlineStr">
        <is>
          <t>Gap</t>
        </is>
      </c>
      <c r="E9" s="85" t="inlineStr">
        <is>
          <t>P1</t>
        </is>
      </c>
      <c r="F9" s="84" t="inlineStr">
        <is>
          <t>M (3–5 days)</t>
        </is>
      </c>
      <c r="G9" s="84" t="inlineStr">
        <is>
          <t>Betting Analyst + Data Engineer</t>
        </is>
      </c>
      <c r="H9" s="87" t="inlineStr">
        <is>
          <t>Open</t>
        </is>
      </c>
      <c r="I9" s="84" t="inlineStr">
        <is>
          <t>No</t>
        </is>
      </c>
      <c r="J9" s="84" t="inlineStr">
        <is>
          <t>Phase 7 says 'swap in a real odds provider' with no spec for which provider, cadence, or multi-book methodology. Without this spec in Phase 5, the schema and ingestion architecture won't support CLV measurement when Phase 7 arrives.</t>
        </is>
      </c>
      <c r="K9"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9" s="84" t="inlineStr">
        <is>
          <t>SIM-133 (book and line_type columns), SIM-134 (raw.prop_odds table)</t>
        </is>
      </c>
      <c r="M9" s="84" t="inlineStr">
        <is>
          <t>The 'replace one function' comment in live_ingestion_pipeline.py will produce a broken CLV system without this spec.</t>
        </is>
      </c>
    </row>
    <row r="10" ht="157.5" customHeight="1" s="47">
      <c r="A10" s="84" t="inlineStr">
        <is>
          <t>SIM-151</t>
        </is>
      </c>
      <c r="B10" s="84" t="inlineStr">
        <is>
          <t>Add error-path tests to ETL test suite — 163 existing tests are all happy-path</t>
        </is>
      </c>
      <c r="C10" s="84" t="inlineStr">
        <is>
          <t>Testing</t>
        </is>
      </c>
      <c r="D10" s="84" t="inlineStr">
        <is>
          <t>Bug</t>
        </is>
      </c>
      <c r="E10" s="85" t="inlineStr">
        <is>
          <t>P1</t>
        </is>
      </c>
      <c r="F10" s="84" t="inlineStr">
        <is>
          <t>M (3–5 days)</t>
        </is>
      </c>
      <c r="G10" s="84" t="inlineStr">
        <is>
          <t>Data Engineer + QA/DevOps</t>
        </is>
      </c>
      <c r="H10" s="87" t="inlineStr">
        <is>
          <t>Open</t>
        </is>
      </c>
      <c r="I10" s="84" t="inlineStr">
        <is>
          <t>No</t>
        </is>
      </c>
      <c r="J1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1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10" s="84" t="inlineStr">
        <is>
          <t>SIM-082, SIM-083, SIM-086, SIM-087, SIM-092 (bugs fixed first)</t>
        </is>
      </c>
      <c r="M10" s="84" t="inlineStr">
        <is>
          <t>Error-path tests are where production systems fail — these must exist.</t>
        </is>
      </c>
    </row>
    <row r="11" ht="135.75" customHeight="1" s="47">
      <c r="A11" s="84" t="inlineStr">
        <is>
          <t>SIM-149</t>
        </is>
      </c>
      <c r="B11" s="84" t="inlineStr">
        <is>
          <t>Create tests/unit/test_baserunner_similarity.py — engine marked complete but untested</t>
        </is>
      </c>
      <c r="C11" s="84" t="inlineStr">
        <is>
          <t>Testing</t>
        </is>
      </c>
      <c r="D11" s="84" t="inlineStr">
        <is>
          <t>Bug</t>
        </is>
      </c>
      <c r="E11" s="85" t="inlineStr">
        <is>
          <t>P1</t>
        </is>
      </c>
      <c r="F11" s="84" t="inlineStr">
        <is>
          <t>M (3–5 days)</t>
        </is>
      </c>
      <c r="G11" s="84" t="inlineStr">
        <is>
          <t>ML Engineer + QA/DevOps</t>
        </is>
      </c>
      <c r="H11" s="87" t="inlineStr">
        <is>
          <t>Open</t>
        </is>
      </c>
      <c r="I11" s="84" t="inlineStr">
        <is>
          <t>No</t>
        </is>
      </c>
      <c r="J11"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11"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11" s="84" t="inlineStr">
        <is>
          <t>SIM-070, SIM-077 (bugs must be fixed first)</t>
        </is>
      </c>
      <c r="M11" s="84" t="inlineStr">
        <is>
          <t>Phase 2 cannot be closed without this file.</t>
        </is>
      </c>
    </row>
    <row r="12" ht="113.25" customHeight="1" s="47">
      <c r="A12" s="84" t="inlineStr">
        <is>
          <t>SIM-150</t>
        </is>
      </c>
      <c r="B12" s="84" t="inlineStr">
        <is>
          <t>Extend test_similarity_calibration.py to cover all 5 MLE calibration bugs</t>
        </is>
      </c>
      <c r="C12" s="84" t="inlineStr">
        <is>
          <t>Testing</t>
        </is>
      </c>
      <c r="D12" s="84" t="inlineStr">
        <is>
          <t>Bug</t>
        </is>
      </c>
      <c r="E12" s="85" t="inlineStr">
        <is>
          <t>P1</t>
        </is>
      </c>
      <c r="F12" s="84" t="inlineStr">
        <is>
          <t>S (1–2 days)</t>
        </is>
      </c>
      <c r="G12" s="84" t="inlineStr">
        <is>
          <t>ML Engineer + QA/DevOps</t>
        </is>
      </c>
      <c r="H12" s="87" t="inlineStr">
        <is>
          <t>Open</t>
        </is>
      </c>
      <c r="I12" s="84" t="inlineStr">
        <is>
          <t>No</t>
        </is>
      </c>
      <c r="J12"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12"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12" s="84" t="inlineStr">
        <is>
          <t>SIM-066, SIM-067, SIM-068, SIM-069, SIM-073 (bugs fixed first)</t>
        </is>
      </c>
      <c r="M12" s="84" t="inlineStr">
        <is>
          <t>Retroactive regression coverage — prevents all 5 calibration bugs from re-appearing.</t>
        </is>
      </c>
    </row>
    <row r="13" ht="168.75" customHeight="1" s="47">
      <c r="A13" s="84" t="inlineStr">
        <is>
          <t>SIM-155</t>
        </is>
      </c>
      <c r="B13" s="84" t="inlineStr">
        <is>
          <t>Create integration test suite — minimum viable ETL→profiles→engine cross-component flow</t>
        </is>
      </c>
      <c r="C13" s="84" t="inlineStr">
        <is>
          <t>Testing</t>
        </is>
      </c>
      <c r="D13" s="84" t="inlineStr">
        <is>
          <t>Gap</t>
        </is>
      </c>
      <c r="E13" s="85" t="inlineStr">
        <is>
          <t>P1</t>
        </is>
      </c>
      <c r="F13" s="84" t="inlineStr">
        <is>
          <t>L (1–2 weeks)</t>
        </is>
      </c>
      <c r="G13" s="84" t="inlineStr">
        <is>
          <t>QA/DevOps + Data Engineer</t>
        </is>
      </c>
      <c r="H13" s="87" t="inlineStr">
        <is>
          <t>Open</t>
        </is>
      </c>
      <c r="I13" s="84" t="inlineStr">
        <is>
          <t>No</t>
        </is>
      </c>
      <c r="J13"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13"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13" s="84" t="inlineStr">
        <is>
          <t>SIM-145 (Docker), SIM-084 (Alembic), SIM-082/083 (bugs fixed)</t>
        </is>
      </c>
      <c r="M13" s="84" t="inlineStr">
        <is>
          <t>Must be complete before Phase 3 play pool architecture builds on top of the pipeline chain.</t>
        </is>
      </c>
    </row>
    <row r="14" ht="157.5" customHeight="1" s="47">
      <c r="A14" s="84" t="inlineStr">
        <is>
          <t>SIM-156</t>
        </is>
      </c>
      <c r="B14" s="84" t="inlineStr">
        <is>
          <t>Create schema contract tests — assert engine feature names map to DuckDB schema columns</t>
        </is>
      </c>
      <c r="C14" s="84" t="inlineStr">
        <is>
          <t>Testing</t>
        </is>
      </c>
      <c r="D14" s="84" t="inlineStr">
        <is>
          <t>Gap</t>
        </is>
      </c>
      <c r="E14" s="85" t="inlineStr">
        <is>
          <t>P1</t>
        </is>
      </c>
      <c r="F14" s="84" t="inlineStr">
        <is>
          <t>S (1–2 days)</t>
        </is>
      </c>
      <c r="G14" s="84" t="inlineStr">
        <is>
          <t>QA/DevOps + Data Engineer</t>
        </is>
      </c>
      <c r="H14" s="87" t="inlineStr">
        <is>
          <t>Open</t>
        </is>
      </c>
      <c r="I14" s="84" t="inlineStr">
        <is>
          <t>No</t>
        </is>
      </c>
      <c r="J14"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14"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14" s="84" t="inlineStr">
        <is>
          <t>SIM-071 (consistent import paths to engine feature lists), SIM-147</t>
        </is>
      </c>
      <c r="M14" s="84" t="inlineStr">
        <is>
          <t>Static tests — extremely cheap to run and catch an entire class of subtle bugs.</t>
        </is>
      </c>
    </row>
    <row r="15" ht="157.5" customHeight="1" s="47">
      <c r="A15" s="84" t="inlineStr">
        <is>
          <t>SIM-131</t>
        </is>
      </c>
      <c r="B15" s="84" t="inlineStr">
        <is>
          <t>Define WebSocket live update state machine and play-by-play virtualization requirements</t>
        </is>
      </c>
      <c r="C15" s="84" t="inlineStr">
        <is>
          <t>Frontend</t>
        </is>
      </c>
      <c r="D15" s="84" t="inlineStr">
        <is>
          <t>Gap</t>
        </is>
      </c>
      <c r="E15" s="85" t="inlineStr">
        <is>
          <t>P1</t>
        </is>
      </c>
      <c r="F15" s="84" t="inlineStr">
        <is>
          <t>M (3–5 days)</t>
        </is>
      </c>
      <c r="G15" s="84" t="inlineStr">
        <is>
          <t>UX Designer + Backend Developer</t>
        </is>
      </c>
      <c r="H15" s="87" t="inlineStr">
        <is>
          <t>Open</t>
        </is>
      </c>
      <c r="I15" s="84" t="inlineStr">
        <is>
          <t>No</t>
        </is>
      </c>
      <c r="J1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1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15" s="84" t="inlineStr">
        <is>
          <t>SIM-109 (WS channel architecture), SIM-126 (Game Page layout)</t>
        </is>
      </c>
      <c r="M15" s="84" t="inlineStr">
        <is>
          <t>Required for Phase 6 Steps 6.3 and 6.4 correctness. WS state machine spec must precede implementation.</t>
        </is>
      </c>
    </row>
    <row r="16" ht="23.25" customHeight="1" s="47">
      <c r="A16" s="84" t="inlineStr">
        <is>
          <t>SIM-132</t>
        </is>
      </c>
      <c r="B16" s="84" t="inlineStr">
        <is>
          <t>Fix MockOddsAPI Zero-Vig + resim doc</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Implied probs summed to exactly 1.0 (no vig); architecture comment lied.</t>
        </is>
      </c>
      <c r="K16" s="84" t="inlineStr">
        <is>
          <t>vig in [0.06, 0.10]; comment fixed.</t>
        </is>
      </c>
      <c r="L16" s="84" t="inlineStr">
        <is>
          <t>None</t>
        </is>
      </c>
      <c r="M16" s="84" t="inlineStr">
        <is>
          <t>Shipped sprint 2026-05-05. SIM-096 follow-up tightens RNG floor.</t>
        </is>
      </c>
    </row>
    <row r="17" ht="23.25" customHeight="1" s="47">
      <c r="A17" s="84" t="inlineStr">
        <is>
          <t>SIM-133</t>
        </is>
      </c>
      <c r="B17" s="84" t="inlineStr">
        <is>
          <t>Extend raw.game_odds for CLV</t>
        </is>
      </c>
      <c r="C17" s="84" t="inlineStr">
        <is>
          <t>Schema / ETL</t>
        </is>
      </c>
      <c r="D17" s="84" t="inlineStr">
        <is>
          <t>Bug</t>
        </is>
      </c>
      <c r="E17" s="85" t="inlineStr">
        <is>
          <t>P1</t>
        </is>
      </c>
      <c r="F17" s="84" t="inlineStr">
        <is>
          <t>S</t>
        </is>
      </c>
      <c r="G17" s="84" t="inlineStr">
        <is>
          <t>Data Engineer</t>
        </is>
      </c>
      <c r="H17" s="89" t="inlineStr">
        <is>
          <t>Closed</t>
        </is>
      </c>
      <c r="I17" s="84" t="inlineStr">
        <is>
          <t>No</t>
        </is>
      </c>
      <c r="J17" s="84" t="inlineStr">
        <is>
          <t>No line_type / book / market_type / is_sharp_book columns.</t>
        </is>
      </c>
      <c r="K17" s="84" t="inlineStr">
        <is>
          <t>Four CLV columns added via migration 0003 (combined w/ SIM-083).</t>
        </is>
      </c>
      <c r="L17" s="84" t="inlineStr">
        <is>
          <t>SIM-084</t>
        </is>
      </c>
      <c r="M17" s="84" t="inlineStr">
        <is>
          <t>Shipped sprint 2026-05-05.</t>
        </is>
      </c>
    </row>
    <row r="18" ht="23.25" customHeight="1" s="47">
      <c r="A18" s="84" t="inlineStr">
        <is>
          <t>SIM-134</t>
        </is>
      </c>
      <c r="B18" s="84" t="inlineStr">
        <is>
          <t>raw.prop_odds CHECK + MockOddsAPI prop lines</t>
        </is>
      </c>
      <c r="C18" s="84" t="inlineStr">
        <is>
          <t>Schema / ETL</t>
        </is>
      </c>
      <c r="D18" s="84" t="inlineStr">
        <is>
          <t>Gap</t>
        </is>
      </c>
      <c r="E18" s="85" t="inlineStr">
        <is>
          <t>P1</t>
        </is>
      </c>
      <c r="F18" s="84" t="inlineStr">
        <is>
          <t>M</t>
        </is>
      </c>
      <c r="G18" s="84" t="inlineStr">
        <is>
          <t>Data Engineer + Betting Analyst</t>
        </is>
      </c>
      <c r="H18" s="89" t="inlineStr">
        <is>
          <t>Closed</t>
        </is>
      </c>
      <c r="I18" s="84" t="inlineStr">
        <is>
          <t>No</t>
        </is>
      </c>
      <c r="J18" s="84" t="inlineStr">
        <is>
          <t>prop_type had no CHECK; MockOddsAPI had no prop method.</t>
        </is>
      </c>
      <c r="K18" s="84" t="inlineStr">
        <is>
          <t>Migration 0004; 7-value CHECK; MockOddsAPI.get_prop_odds; compound index.</t>
        </is>
      </c>
      <c r="L18" s="84" t="inlineStr">
        <is>
          <t>SIM-083</t>
        </is>
      </c>
      <c r="M18" s="84" t="inlineStr">
        <is>
          <t>Shipped sprint 2026-05-05.</t>
        </is>
      </c>
    </row>
    <row r="19" ht="15" customHeight="1" s="47">
      <c r="A19" s="84" t="inlineStr">
        <is>
          <t>SIM-138</t>
        </is>
      </c>
      <c r="B19" s="84" t="inlineStr">
        <is>
          <t>Nightly Opening Line Ingestion Job</t>
        </is>
      </c>
      <c r="C19" s="84" t="inlineStr">
        <is>
          <t>Live Pipeline</t>
        </is>
      </c>
      <c r="D19" s="84" t="inlineStr">
        <is>
          <t>Gap</t>
        </is>
      </c>
      <c r="E19" s="85" t="inlineStr">
        <is>
          <t>P1</t>
        </is>
      </c>
      <c r="F19" s="84" t="inlineStr">
        <is>
          <t>S</t>
        </is>
      </c>
      <c r="G19" s="84" t="inlineStr">
        <is>
          <t>Data Engineer</t>
        </is>
      </c>
      <c r="H19" s="89" t="inlineStr">
        <is>
          <t>Closed</t>
        </is>
      </c>
      <c r="I19" s="84" t="inlineStr">
        <is>
          <t>No</t>
        </is>
      </c>
      <c r="J19" s="84" t="inlineStr">
        <is>
          <t>Opening lines lost permanently each missing day.</t>
        </is>
      </c>
      <c r="K19" s="84" t="inlineStr">
        <is>
          <t>OpeningLineJob (cron + APScheduler); 7-day lookahead.</t>
        </is>
      </c>
      <c r="L19" s="84" t="inlineStr">
        <is>
          <t>SIM-133, SIM-134</t>
        </is>
      </c>
      <c r="M19" s="84" t="inlineStr">
        <is>
          <t>Shipped sprint 2026-05-05.</t>
        </is>
      </c>
    </row>
    <row r="20" ht="23.25" customHeight="1" s="47">
      <c r="A20" s="84" t="inlineStr">
        <is>
          <t>SIM-145</t>
        </is>
      </c>
      <c r="B20" s="84" t="inlineStr">
        <is>
          <t>Docker / CI Infrastructure</t>
        </is>
      </c>
      <c r="C20" s="84" t="inlineStr">
        <is>
          <t>Infrastructure</t>
        </is>
      </c>
      <c r="D20" s="84" t="inlineStr">
        <is>
          <t>Gap</t>
        </is>
      </c>
      <c r="E20" s="85" t="inlineStr">
        <is>
          <t>P1</t>
        </is>
      </c>
      <c r="F20" s="84" t="inlineStr">
        <is>
          <t>L</t>
        </is>
      </c>
      <c r="G20" s="84" t="inlineStr">
        <is>
          <t>Data Engineer + QA/DevOps</t>
        </is>
      </c>
      <c r="H20" s="89" t="inlineStr">
        <is>
          <t>Closed</t>
        </is>
      </c>
      <c r="I20" s="84" t="inlineStr">
        <is>
          <t>No</t>
        </is>
      </c>
      <c r="J20" s="84" t="inlineStr">
        <is>
          <t>Empty requirements.txt, no Dockerfile, no integration tests.</t>
        </is>
      </c>
      <c r="K20" s="84" t="inlineStr">
        <is>
          <t>Dockerfile, docker-compose, Makefile, requirements pinned, integration tests.</t>
        </is>
      </c>
      <c r="L20" s="84" t="inlineStr">
        <is>
          <t>SIM-084</t>
        </is>
      </c>
      <c r="M20" s="84" t="inlineStr">
        <is>
          <t>Shipped sprint 2026-05-05.</t>
        </is>
      </c>
    </row>
    <row r="21" ht="23.25" customHeight="1" s="47">
      <c r="A21" s="84" t="inlineStr">
        <is>
          <t>SIM-146</t>
        </is>
      </c>
      <c r="B21" s="84" t="inlineStr">
        <is>
          <t>GitHub Actions CI Pipeline</t>
        </is>
      </c>
      <c r="C21" s="84" t="inlineStr">
        <is>
          <t>Infrastructure</t>
        </is>
      </c>
      <c r="D21" s="84" t="inlineStr">
        <is>
          <t>Feature</t>
        </is>
      </c>
      <c r="E21" s="85" t="inlineStr">
        <is>
          <t>P1</t>
        </is>
      </c>
      <c r="F21" s="84" t="inlineStr">
        <is>
          <t>M</t>
        </is>
      </c>
      <c r="G21" s="84" t="inlineStr">
        <is>
          <t>QA/DevOps</t>
        </is>
      </c>
      <c r="H21" s="89" t="inlineStr">
        <is>
          <t>Closed</t>
        </is>
      </c>
      <c r="I21" s="84" t="inlineStr">
        <is>
          <t>No</t>
        </is>
      </c>
      <c r="J21" s="84" t="inlineStr">
        <is>
          <t>No .github/workflows/; every push required manual validation.</t>
        </is>
      </c>
      <c r="K21" s="84" t="inlineStr">
        <is>
          <t>.github/workflows/ci.yml + docker-release.yml + integration-weekly.yml.</t>
        </is>
      </c>
      <c r="L21" s="84" t="inlineStr">
        <is>
          <t>SIM-145</t>
        </is>
      </c>
      <c r="M21" s="84" t="inlineStr">
        <is>
          <t>Shipped sprint 2026-05-05.</t>
        </is>
      </c>
    </row>
    <row r="22" ht="15" customHeight="1" s="47">
      <c r="A22" s="84" t="inlineStr">
        <is>
          <t>SIM-147</t>
        </is>
      </c>
      <c r="B22" s="84" t="inlineStr">
        <is>
          <t>Similarity Engine Regression Gate</t>
        </is>
      </c>
      <c r="C22" s="84" t="inlineStr">
        <is>
          <t>Testing</t>
        </is>
      </c>
      <c r="D22" s="84" t="inlineStr">
        <is>
          <t>Feature</t>
        </is>
      </c>
      <c r="E22" s="85" t="inlineStr">
        <is>
          <t>P1</t>
        </is>
      </c>
      <c r="F22" s="84" t="inlineStr">
        <is>
          <t>M</t>
        </is>
      </c>
      <c r="G22" s="84" t="inlineStr">
        <is>
          <t>QA/DevOps</t>
        </is>
      </c>
      <c r="H22" s="89" t="inlineStr">
        <is>
          <t>Closed</t>
        </is>
      </c>
      <c r="I22" s="84" t="inlineStr">
        <is>
          <t>No</t>
        </is>
      </c>
      <c r="J22" s="84" t="inlineStr">
        <is>
          <t>5 new engines had no drift-detection on CI.</t>
        </is>
      </c>
      <c r="K22" s="84" t="inlineStr">
        <is>
          <t>tests/regression/ with 54 tests across 9 classes; golden files.</t>
        </is>
      </c>
      <c r="L22" s="84" t="inlineStr">
        <is>
          <t>SIM-146</t>
        </is>
      </c>
      <c r="M22" s="84" t="inlineStr">
        <is>
          <t>Shipped sprint 2026-05-05.</t>
        </is>
      </c>
    </row>
    <row r="23" ht="34.5" customHeight="1" s="47">
      <c r="A23" s="84" t="inlineStr">
        <is>
          <t>SIM-148</t>
        </is>
      </c>
      <c r="B23" s="84" t="inlineStr">
        <is>
          <t>test_pitcher_similarity vacuous assertion + _score_pair guard</t>
        </is>
      </c>
      <c r="C23" s="84" t="inlineStr">
        <is>
          <t>Testing</t>
        </is>
      </c>
      <c r="D23" s="84" t="inlineStr">
        <is>
          <t>Bug</t>
        </is>
      </c>
      <c r="E23" s="85" t="inlineStr">
        <is>
          <t>P1</t>
        </is>
      </c>
      <c r="F23" s="84" t="inlineStr">
        <is>
          <t>S</t>
        </is>
      </c>
      <c r="G23" s="84" t="inlineStr">
        <is>
          <t>ML Engineer + QA/DevOps</t>
        </is>
      </c>
      <c r="H23" s="89" t="inlineStr">
        <is>
          <t>Closed</t>
        </is>
      </c>
      <c r="I23" s="84" t="inlineStr">
        <is>
          <t>No</t>
        </is>
      </c>
      <c r="J23" s="84" t="inlineStr">
        <is>
          <t>release_score asserts were vacuous; no _score_pair shape regression.</t>
        </is>
      </c>
      <c r="K23" s="84" t="inlineStr">
        <is>
          <t>Removed dead asserts; added 3-tuple regression; doctest sentinel.</t>
        </is>
      </c>
      <c r="L23" s="84" t="inlineStr">
        <is>
          <t>SIM-067</t>
        </is>
      </c>
      <c r="M23" s="84" t="inlineStr">
        <is>
          <t>Shipped sprint 2026-05-07. PM-accepted with documented `len==3` deviation from ticket-text `len==4`.</t>
        </is>
      </c>
    </row>
    <row r="24" ht="23.25" customHeight="1" s="47">
      <c r="A24" s="84" t="inlineStr">
        <is>
          <t>SIM-153</t>
        </is>
      </c>
      <c r="B24" s="84" t="inlineStr">
        <is>
          <t>Secrets management baseline</t>
        </is>
      </c>
      <c r="C24" s="84" t="inlineStr">
        <is>
          <t>Infrastructure</t>
        </is>
      </c>
      <c r="D24" s="84" t="inlineStr">
        <is>
          <t>Gap</t>
        </is>
      </c>
      <c r="E24" s="85" t="inlineStr">
        <is>
          <t>P1</t>
        </is>
      </c>
      <c r="F24" s="84" t="inlineStr">
        <is>
          <t>S</t>
        </is>
      </c>
      <c r="G24" s="84" t="inlineStr">
        <is>
          <t>QA/DevOps + Backend Developer</t>
        </is>
      </c>
      <c r="H24" s="89" t="inlineStr">
        <is>
          <t>Closed</t>
        </is>
      </c>
      <c r="I24" s="84" t="inlineStr">
        <is>
          <t>No</t>
        </is>
      </c>
      <c r="J24" s="84" t="inlineStr">
        <is>
          <t>Bare DSN strings; no env-var pattern; no startup validation; no CI secret check.</t>
        </is>
      </c>
      <c r="K24" s="84" t="inlineStr">
        <is>
          <t>validate_environment + env-fallback DSN + CI secrets-check job.</t>
        </is>
      </c>
      <c r="L24" s="84" t="inlineStr">
        <is>
          <t>SIM-145</t>
        </is>
      </c>
      <c r="M24" s="84" t="inlineStr">
        <is>
          <t>Shipped sprint 2026-05-07. PM-accepted 2026-05-07.</t>
        </is>
      </c>
    </row>
    <row r="25" ht="124.5" customHeight="1" s="47">
      <c r="A25" s="84" t="inlineStr">
        <is>
          <t>SIM-157</t>
        </is>
      </c>
      <c r="B25" s="84" t="inlineStr">
        <is>
          <t>Backfill legacy odds_hash + dedup pass on raw.game_odds</t>
        </is>
      </c>
      <c r="C25" s="84" t="inlineStr">
        <is>
          <t>Schema / ETL</t>
        </is>
      </c>
      <c r="D25" s="84" t="inlineStr">
        <is>
          <t>Improvement</t>
        </is>
      </c>
      <c r="E25" s="85" t="inlineStr">
        <is>
          <t>P1</t>
        </is>
      </c>
      <c r="F25" s="84" t="inlineStr">
        <is>
          <t>S (1–2 days)</t>
        </is>
      </c>
      <c r="G25" s="84" t="inlineStr">
        <is>
          <t>Data Engineer</t>
        </is>
      </c>
      <c r="H25" s="87" t="inlineStr">
        <is>
          <t>Open</t>
        </is>
      </c>
      <c r="I25" s="84" t="inlineStr">
        <is>
          <t>No</t>
        </is>
      </c>
      <c r="J25" s="84" t="inlineStr">
        <is>
          <t>SIM-092 added odds_hash + partial unique index but only enforces going forward. Pre-SIM-092 rows have NULL odds_hash and contain duplicates, inflating CLV row counts and slowing scans.</t>
        </is>
      </c>
      <c r="K25"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25" s="84" t="inlineStr">
        <is>
          <t>SIM-092 (column + index already shipped)</t>
        </is>
      </c>
      <c r="M25" s="84" t="inlineStr">
        <is>
          <t>Created 2026-05-08 from SIM-092 carry-forward. Renumbered from SIM-094 to avoid collision with the existing Phase 2 polish ticket.</t>
        </is>
      </c>
    </row>
    <row r="26" ht="135.75" customHeight="1" s="47">
      <c r="A26" s="84" t="inlineStr">
        <is>
          <t>SIM-158</t>
        </is>
      </c>
      <c r="B26" s="84" t="inlineStr">
        <is>
          <t>Run EXPLAIN ANALYZE acceptance gates for SIM-085 + SIM-089</t>
        </is>
      </c>
      <c r="C26" s="84" t="inlineStr">
        <is>
          <t>Performance</t>
        </is>
      </c>
      <c r="D26" s="84" t="inlineStr">
        <is>
          <t>Validation</t>
        </is>
      </c>
      <c r="E26" s="85" t="inlineStr">
        <is>
          <t>P1</t>
        </is>
      </c>
      <c r="F26" s="84" t="inlineStr">
        <is>
          <t>S (1–2 days)</t>
        </is>
      </c>
      <c r="G26" s="84" t="inlineStr">
        <is>
          <t>Performance Engineer</t>
        </is>
      </c>
      <c r="H26" s="87" t="inlineStr">
        <is>
          <t>Open</t>
        </is>
      </c>
      <c r="I26" s="84" t="inlineStr">
        <is>
          <t>No</t>
        </is>
      </c>
      <c r="J26" s="84" t="inlineStr">
        <is>
          <t>SIM-085 (composite situation index) and SIM-089 ((pitcher, season) partial index) shipped with their acceptance gates expressed but not executed — sandbox lacked a populated DB. Once a 2024 staging DB exists, run the gates and record results.</t>
        </is>
      </c>
      <c r="K26"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26" s="84" t="inlineStr">
        <is>
          <t>SIM-085, SIM-089, populated 2024 staging DB</t>
        </is>
      </c>
      <c r="M26" s="84" t="inlineStr">
        <is>
          <t>Created 2026-05-08 from PM acceptance review. Renumbered from SIM-095 to avoid collision with the existing pitch_pool incremental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2026-05-08T04:00:20Z</dcterms:created>
  <dcterms:modified xsi:type="dcterms:W3CDTF">2026-05-26T06:27:07Z</dcterms:modified>
  <cp:lastModifiedBy>Gregory Melick</cp:lastModifiedBy>
  <cp:revision>0</cp:revision>
</cp:coreProperties>
</file>